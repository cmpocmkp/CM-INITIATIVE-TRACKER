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f5fb9f9d1e3051a4/Desktop/"/>
    </mc:Choice>
  </mc:AlternateContent>
  <xr:revisionPtr revIDLastSave="0" documentId="8_{CB68B42B-B34D-4EA9-AE7A-0CDD4C036618}" xr6:coauthVersionLast="47" xr6:coauthVersionMax="47" xr10:uidLastSave="{00000000-0000-0000-0000-000000000000}"/>
  <bookViews>
    <workbookView xWindow="-110" yWindow="-110" windowWidth="19420" windowHeight="10300" xr2:uid="{967FD33D-69A2-492A-835C-80C77910A25A}"/>
  </bookViews>
  <sheets>
    <sheet name="PRP" sheetId="1" r:id="rId1"/>
  </sheets>
  <definedNames>
    <definedName name="_xlnm._FilterDatabase" localSheetId="0" hidden="1">PRP!$A$2:$L$26</definedName>
    <definedName name="_xlnm.Print_Titles" localSheetId="0">PRP!$1:$2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6" i="1" l="1"/>
  <c r="I26" i="1"/>
  <c r="K26" i="1"/>
  <c r="J23" i="1"/>
  <c r="J26" i="1" s="1"/>
</calcChain>
</file>

<file path=xl/sharedStrings.xml><?xml version="1.0" encoding="utf-8"?>
<sst xmlns="http://schemas.openxmlformats.org/spreadsheetml/2006/main" count="155" uniqueCount="66">
  <si>
    <t>S.No.</t>
  </si>
  <si>
    <t>Area</t>
  </si>
  <si>
    <t>Sector</t>
  </si>
  <si>
    <t>Scheme
Code</t>
  </si>
  <si>
    <t>Scheme Name</t>
  </si>
  <si>
    <t>Scheme
Status</t>
  </si>
  <si>
    <t>Scheme
Type</t>
  </si>
  <si>
    <t>Cost</t>
  </si>
  <si>
    <t>Allocation
 (Local)
2026-27</t>
  </si>
  <si>
    <t xml:space="preserve">Remarks </t>
  </si>
  <si>
    <t xml:space="preserve">KP                  </t>
  </si>
  <si>
    <t>A</t>
  </si>
  <si>
    <t>G</t>
  </si>
  <si>
    <t>Urban Development</t>
  </si>
  <si>
    <t>Undergrounding PESCO Supply cabling (Pir Zakuri to Karkhano) (PRP)</t>
  </si>
  <si>
    <t>B</t>
  </si>
  <si>
    <t>N</t>
  </si>
  <si>
    <t>Construction of Link Road from Hayatabad Industrial Estate to Northern Bypass, Peshawar (PRP)</t>
  </si>
  <si>
    <t>Construction of Ring Road Missing Link (Nasir Bagh to RMT) (Phase-III) (PRP)</t>
  </si>
  <si>
    <t>Construction of under Passes on University Road, Ramdas-Chungi and Lahori Chowk (PRP)</t>
  </si>
  <si>
    <t>Development of Theme Park (PRP)</t>
  </si>
  <si>
    <t>Development of Hi-tech Children Park (PRP)</t>
  </si>
  <si>
    <t>Establishment of four Slaughter houses in Peshawar (PRP).</t>
  </si>
  <si>
    <t>Feasibility Study &amp; Establishment of Fruit &amp; Vegetable Markets in Peshawar (PRP).</t>
  </si>
  <si>
    <t>Total</t>
  </si>
  <si>
    <t>Upgrading and Uplifting Major Arterial Roads/Routes of Peshawar City, Phase-III (PRP).</t>
  </si>
  <si>
    <t>Upgrading and Uplifting Major Arterial Roads/Routes of Peshawar City, Phase-IV (PRP).</t>
  </si>
  <si>
    <t>Releases
2025-26</t>
  </si>
  <si>
    <t>Procurement stage</t>
  </si>
  <si>
    <t>Unapproved.</t>
  </si>
  <si>
    <t xml:space="preserve">Contract Awarded.  </t>
  </si>
  <si>
    <t>NESPAK Engaged .</t>
  </si>
  <si>
    <t>F/S under process</t>
  </si>
  <si>
    <t>Construction of Northern Section of Ring Road (Missing Link) from Warsak Road to Nasir Bagh Road (Km 5+000 to Km 13+700)  (Phase-II) (PRP).
PDWP 25-02-2026</t>
  </si>
  <si>
    <t>Uplifting of Existing 34 No. Parks (PRP)
PDWP 25-02-2026</t>
  </si>
  <si>
    <t>Installation/Rehabilitation of Electric Poles/Lights, Cabling etc. on Ring Road and GT/Jamrud Road (PRP).
PDWP 25-02-2026</t>
  </si>
  <si>
    <t>Upgrading and Uplifting Major Arterial Roads/Routes of Peshawar City, Phase-I (PRP).
PDWP 13-05-2026</t>
  </si>
  <si>
    <t>Upgrading and Uplifting Major Arterial Roads/Routes of Peshawar City, Phase-II (PRP).
PDWP 13-05-2026</t>
  </si>
  <si>
    <t>Construction of Level-2 Flyover at Ring Road-GT Road Intersection, Peshawar Revitalization Plan (PRP). 
PDWP 13-05-2026</t>
  </si>
  <si>
    <t>Hiring of Consultancy services for Feasibility Studies, Detailed Engineering Design of “Frame of Peshawar” at entry from GT Road/M-1 and Designing of Entry Gates at Charsadda Road and Kohat Road, Peshawar (PRP).
PDWP 16-02-2026</t>
  </si>
  <si>
    <t>Feasibility Studies, Uplifting, Conservation and Revitalization of the Walled City Peshawar (PRP).
PDWP 25-02-2026</t>
  </si>
  <si>
    <t>Supply/Erection of Street Light Accessories/New Installation at various NC’s of Directorate of Eastern Zone CMG Peshawar (PRP).
PDWP 25-02-2026</t>
  </si>
  <si>
    <t>Purchase of Funeral Including Fabrication/Modification of Chassis for Directorate of Eastern Zone CMG Peshawar.
PDWP 25-02-2026</t>
  </si>
  <si>
    <t>Improvement of Water Supply Distribution Network in Peshawar (PRP).
PDWP 15-01-2026</t>
  </si>
  <si>
    <t>Actual Exp:
2025-26</t>
  </si>
  <si>
    <t>Construction of Underpasses at Various Traffic Hotspots on Ring Road, Peshawar (PRP). 
PDWP 16-02-2026</t>
  </si>
  <si>
    <t>Drinking Water &amp; Sanitation</t>
  </si>
  <si>
    <t>Water Supply Schemes in PHE Division Peshawar-I &amp; Peshawar-II (PRP).</t>
  </si>
  <si>
    <t xml:space="preserve">Works Commenced. </t>
  </si>
  <si>
    <t>Peshawar Revitalization Plan (PRP) 2026-27 High Impact Projects</t>
  </si>
  <si>
    <t>Approved Schemes</t>
  </si>
  <si>
    <t>Unapproved Schemes</t>
  </si>
  <si>
    <t>Total PRP Schemes</t>
  </si>
  <si>
    <t>Contract for Warsak and Palosai flyover Awarded, work commenced, completion deadline is December 2026</t>
  </si>
  <si>
    <t>Work Commenced, Completion Deadline is January 2027.</t>
  </si>
  <si>
    <t>NIT Published, Technical bids to be opened on 28/07/2026</t>
  </si>
  <si>
    <t>Technical Bids opened on 09/07/2026. Evaluation in progress.</t>
  </si>
  <si>
    <t>Technical Bids opened on 20/07/2026. Evaluation in progress.</t>
  </si>
  <si>
    <t>Field surveys in Progress. PC-I to be submitted up to 30/09/2026</t>
  </si>
  <si>
    <t xml:space="preserve">2nd time tendered, Technical Bid Evaluation held, financial bids to opened on 23/07/2026. Completion Deadline set for February 2027. </t>
  </si>
  <si>
    <t>NESPAK Engaged for Design and preparation of PC-I. PC-I to be submitted up to 31/10/2026</t>
  </si>
  <si>
    <t>Field surveys in Progress. PC-I to be submitted up to 31/10/2026</t>
  </si>
  <si>
    <t xml:space="preserve">Design for Ramdas chungi flyover is completed, PC-I for phase-I will be submitted 31/07/2026 and PC-I for Phase-II (University Road) will be submitted upto </t>
  </si>
  <si>
    <t>As No Feasible option to directly connect Industrial estate to Northern bypass Road is available, it was decided to opt alternative link road to connecting industrial estate via GT Jamrud Road with Ring road and Nothern Bypass junction at the eastern side of karkhano Markets.
Land and Construction PC-I of the project has been framed and will be submitted to LGE&amp;RDD up to 24/07/2026</t>
  </si>
  <si>
    <t>M/S NESPAK has been engaged on G to G basis and has commenced their services. The consultant has been tasked to complete their assignement within 3 months period i.e. by 02/10/2026</t>
  </si>
  <si>
    <t>Pc1 prepared submitted by consultant for review will be submitted to P&amp;D next week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</si>
</sst>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
  </numFmts>
  <fonts count="5" x14ac:knownFonts="1">
    <font>
      <sz val="11"/>
      <name val="Calibri"/>
    </font>
    <font>
      <sz val="11"/>
      <name val="Calibri"/>
      <family val="2"/>
    </font>
    <font>
      <sz val="12"/>
      <name val="Tahoma"/>
      <family val="2"/>
    </font>
    <font>
      <b/>
      <sz val="12"/>
      <name val="Tahoma"/>
      <family val="2"/>
    </font>
    <font>
      <b/>
      <sz val="18"/>
      <name val="Tahoma"/>
      <family val="2"/>
    </font>
  </fonts>
  <fills count="3">
    <fill>
      <patternFill patternType="none"/>
    </fill>
    <fill>
      <patternFill patternType="gray125"/>
    </fill>
    <fill>
      <patternFill patternType="solid">
        <fgColor theme="0"/>
        <bgColor indexed="64"/>
      </patternFill>
    </fill>
  </fills>
  <borders count="10">
    <border>
      <left/>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right style="medium">
        <color indexed="64"/>
      </right>
      <top/>
      <bottom style="medium">
        <color indexed="64"/>
      </bottom>
      <diagonal/>
    </border>
  </borders>
  <cellStyleXfs count="2">
    <xf numFmtId="0" fontId="0" fillId="0" borderId="0"/>
    <xf numFmtId="43" fontId="1" fillId="0" borderId="0" applyFont="0" applyFill="0" applyBorder="0" applyAlignment="0" applyProtection="0"/>
  </cellStyleXfs>
  <cellXfs count="32">
    <xf numFmtId="0" fontId="0" fillId="0" borderId="0" xfId="0"/>
    <xf numFmtId="0" fontId="0" fillId="0" borderId="0" xfId="0" applyAlignment="1">
      <alignment horizontal="center" vertical="center"/>
    </xf>
    <xf numFmtId="43" fontId="0" fillId="0" borderId="0" xfId="1" applyFont="1"/>
    <xf numFmtId="0" fontId="0" fillId="0" borderId="0" xfId="0" applyAlignment="1">
      <alignment vertical="center"/>
    </xf>
    <xf numFmtId="0" fontId="0" fillId="0" borderId="0" xfId="0" applyAlignment="1">
      <alignment horizontal="center"/>
    </xf>
    <xf numFmtId="0" fontId="2" fillId="0" borderId="5" xfId="0" applyFont="1" applyBorder="1" applyAlignment="1">
      <alignment horizontal="center" vertical="center"/>
    </xf>
    <xf numFmtId="0" fontId="2" fillId="0" borderId="1" xfId="0" applyFont="1" applyBorder="1" applyAlignment="1">
      <alignment horizontal="center" vertical="center" wrapText="1"/>
    </xf>
    <xf numFmtId="1" fontId="2" fillId="0" borderId="1" xfId="0" applyNumberFormat="1" applyFont="1" applyBorder="1" applyAlignment="1">
      <alignment horizontal="center" vertical="center"/>
    </xf>
    <xf numFmtId="0" fontId="2" fillId="0" borderId="1" xfId="0" applyFont="1" applyBorder="1" applyAlignment="1">
      <alignment horizontal="left" vertical="center" wrapText="1"/>
    </xf>
    <xf numFmtId="2" fontId="2" fillId="0" borderId="1" xfId="1" applyNumberFormat="1" applyFont="1" applyBorder="1" applyAlignment="1">
      <alignment horizontal="center" vertical="center"/>
    </xf>
    <xf numFmtId="2" fontId="2" fillId="0" borderId="1" xfId="1" applyNumberFormat="1" applyFont="1" applyFill="1" applyBorder="1" applyAlignment="1">
      <alignment horizontal="center" vertical="center"/>
    </xf>
    <xf numFmtId="164" fontId="2" fillId="0" borderId="1" xfId="1" applyNumberFormat="1" applyFont="1" applyBorder="1" applyAlignment="1">
      <alignment horizontal="center" vertical="center"/>
    </xf>
    <xf numFmtId="0" fontId="2" fillId="0" borderId="6" xfId="0" applyFont="1" applyBorder="1" applyAlignment="1">
      <alignment vertical="center" wrapText="1"/>
    </xf>
    <xf numFmtId="2" fontId="2" fillId="0" borderId="1" xfId="0" applyNumberFormat="1" applyFont="1" applyBorder="1" applyAlignment="1">
      <alignment horizontal="center" vertical="center"/>
    </xf>
    <xf numFmtId="164" fontId="2" fillId="0" borderId="1" xfId="0" applyNumberFormat="1" applyFont="1" applyBorder="1" applyAlignment="1">
      <alignment horizontal="center" vertical="center"/>
    </xf>
    <xf numFmtId="0" fontId="2" fillId="0" borderId="6" xfId="0" applyFont="1" applyBorder="1" applyAlignment="1">
      <alignment horizontal="left" vertical="center" wrapText="1"/>
    </xf>
    <xf numFmtId="43" fontId="3" fillId="0" borderId="8" xfId="1" applyFont="1" applyBorder="1" applyAlignment="1">
      <alignment vertical="center"/>
    </xf>
    <xf numFmtId="43" fontId="3" fillId="0" borderId="8" xfId="1" applyFont="1" applyFill="1" applyBorder="1" applyAlignment="1">
      <alignment vertical="center"/>
    </xf>
    <xf numFmtId="164" fontId="3" fillId="0" borderId="8" xfId="1" applyNumberFormat="1" applyFont="1" applyBorder="1" applyAlignment="1">
      <alignment vertical="center"/>
    </xf>
    <xf numFmtId="0" fontId="3" fillId="2" borderId="5" xfId="0" applyFont="1" applyFill="1" applyBorder="1" applyAlignment="1">
      <alignment horizontal="center" vertical="center" wrapText="1"/>
    </xf>
    <xf numFmtId="0" fontId="3" fillId="2" borderId="1" xfId="0" applyFont="1" applyFill="1" applyBorder="1" applyAlignment="1">
      <alignment horizontal="center" vertical="center" wrapText="1"/>
    </xf>
    <xf numFmtId="43" fontId="3" fillId="2" borderId="1" xfId="1" applyFont="1" applyFill="1" applyBorder="1" applyAlignment="1">
      <alignment horizontal="center" vertical="center" wrapText="1"/>
    </xf>
    <xf numFmtId="43" fontId="3" fillId="2" borderId="6" xfId="1" applyFont="1" applyFill="1" applyBorder="1" applyAlignment="1">
      <alignment horizontal="center" vertical="center" wrapText="1"/>
    </xf>
    <xf numFmtId="0" fontId="2" fillId="0" borderId="9" xfId="0" applyFont="1" applyBorder="1" applyAlignment="1">
      <alignment vertical="center" wrapText="1"/>
    </xf>
    <xf numFmtId="2" fontId="2"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2" fillId="0" borderId="6" xfId="0" applyFont="1" applyFill="1" applyBorder="1" applyAlignment="1">
      <alignmen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396CA-9EDC-45AE-8506-AEF7B4E5ED6E}">
  <sheetPr>
    <pageSetUpPr fitToPage="1"/>
  </sheetPr>
  <dimension ref="A1:L35"/>
  <sheetViews>
    <sheetView tabSelected="1" zoomScale="90" zoomScaleNormal="90" workbookViewId="0">
      <selection activeCell="L15" sqref="L15"/>
    </sheetView>
  </sheetViews>
  <sheetFormatPr defaultRowHeight="14.5" x14ac:dyDescent="0.35"/>
  <cols>
    <col min="1" max="1" width="9.26953125" bestFit="1" customWidth="1"/>
    <col min="2" max="2" width="9.1796875" style="4"/>
    <col min="3" max="3" width="20.81640625" style="4" customWidth="1"/>
    <col min="4" max="4" width="12.453125" style="4" customWidth="1"/>
    <col min="5" max="5" width="53.81640625" customWidth="1"/>
    <col min="6" max="6" width="13" customWidth="1"/>
    <col min="7" max="7" width="12.26953125" customWidth="1"/>
    <col min="8" max="8" width="17.26953125" style="2" bestFit="1" customWidth="1"/>
    <col min="9" max="9" width="16.26953125" style="2" bestFit="1" customWidth="1"/>
    <col min="10" max="10" width="15.453125" style="2" bestFit="1" customWidth="1"/>
    <col min="11" max="11" width="15.81640625" style="2" bestFit="1" customWidth="1"/>
    <col min="12" max="12" width="43.36328125" style="3" customWidth="1"/>
  </cols>
  <sheetData>
    <row r="1" spans="1:12" ht="36" customHeight="1" x14ac:dyDescent="0.35">
      <c r="A1" s="28" t="s">
        <v>49</v>
      </c>
      <c r="B1" s="29"/>
      <c r="C1" s="29"/>
      <c r="D1" s="29"/>
      <c r="E1" s="29"/>
      <c r="F1" s="29"/>
      <c r="G1" s="29"/>
      <c r="H1" s="29"/>
      <c r="I1" s="29"/>
      <c r="J1" s="29"/>
      <c r="K1" s="29"/>
      <c r="L1" s="30"/>
    </row>
    <row r="2" spans="1:12" ht="45" x14ac:dyDescent="0.35">
      <c r="A2" s="19" t="s">
        <v>0</v>
      </c>
      <c r="B2" s="20" t="s">
        <v>1</v>
      </c>
      <c r="C2" s="20" t="s">
        <v>2</v>
      </c>
      <c r="D2" s="20" t="s">
        <v>3</v>
      </c>
      <c r="E2" s="20" t="s">
        <v>4</v>
      </c>
      <c r="F2" s="20" t="s">
        <v>5</v>
      </c>
      <c r="G2" s="20" t="s">
        <v>6</v>
      </c>
      <c r="H2" s="21" t="s">
        <v>7</v>
      </c>
      <c r="I2" s="21" t="s">
        <v>27</v>
      </c>
      <c r="J2" s="21" t="s">
        <v>44</v>
      </c>
      <c r="K2" s="21" t="s">
        <v>8</v>
      </c>
      <c r="L2" s="22" t="s">
        <v>9</v>
      </c>
    </row>
    <row r="3" spans="1:12" ht="92.25" customHeight="1" x14ac:dyDescent="0.35">
      <c r="A3" s="5">
        <v>1</v>
      </c>
      <c r="B3" s="6" t="s">
        <v>10</v>
      </c>
      <c r="C3" s="6" t="s">
        <v>13</v>
      </c>
      <c r="D3" s="7">
        <v>251597</v>
      </c>
      <c r="E3" s="8" t="s">
        <v>33</v>
      </c>
      <c r="F3" s="6" t="s">
        <v>11</v>
      </c>
      <c r="G3" s="6" t="s">
        <v>12</v>
      </c>
      <c r="H3" s="9">
        <v>9673.24</v>
      </c>
      <c r="I3" s="10">
        <v>6000</v>
      </c>
      <c r="J3" s="10">
        <v>1000</v>
      </c>
      <c r="K3" s="11">
        <v>2000</v>
      </c>
      <c r="L3" s="12" t="s">
        <v>53</v>
      </c>
    </row>
    <row r="4" spans="1:12" ht="49.5" customHeight="1" x14ac:dyDescent="0.35">
      <c r="A4" s="5">
        <v>2</v>
      </c>
      <c r="B4" s="6" t="s">
        <v>10</v>
      </c>
      <c r="C4" s="6" t="s">
        <v>13</v>
      </c>
      <c r="D4" s="7">
        <v>251611</v>
      </c>
      <c r="E4" s="8" t="s">
        <v>34</v>
      </c>
      <c r="F4" s="6" t="s">
        <v>11</v>
      </c>
      <c r="G4" s="6" t="s">
        <v>12</v>
      </c>
      <c r="H4" s="9">
        <v>999.69100000000003</v>
      </c>
      <c r="I4" s="10">
        <v>581</v>
      </c>
      <c r="J4" s="10">
        <v>0</v>
      </c>
      <c r="K4" s="11">
        <v>418.69099999999997</v>
      </c>
      <c r="L4" s="12" t="s">
        <v>54</v>
      </c>
    </row>
    <row r="5" spans="1:12" ht="75" customHeight="1" x14ac:dyDescent="0.35">
      <c r="A5" s="5">
        <v>3</v>
      </c>
      <c r="B5" s="6" t="s">
        <v>10</v>
      </c>
      <c r="C5" s="6" t="s">
        <v>13</v>
      </c>
      <c r="D5" s="7">
        <v>251612</v>
      </c>
      <c r="E5" s="8" t="s">
        <v>35</v>
      </c>
      <c r="F5" s="6" t="s">
        <v>11</v>
      </c>
      <c r="G5" s="6" t="s">
        <v>12</v>
      </c>
      <c r="H5" s="9">
        <v>569.226</v>
      </c>
      <c r="I5" s="10">
        <v>569</v>
      </c>
      <c r="J5" s="10">
        <v>0</v>
      </c>
      <c r="K5" s="11">
        <v>0.22600000000000001</v>
      </c>
      <c r="L5" s="12" t="s">
        <v>59</v>
      </c>
    </row>
    <row r="6" spans="1:12" ht="60.75" customHeight="1" x14ac:dyDescent="0.35">
      <c r="A6" s="5">
        <v>4</v>
      </c>
      <c r="B6" s="6" t="s">
        <v>10</v>
      </c>
      <c r="C6" s="6" t="s">
        <v>13</v>
      </c>
      <c r="D6" s="7">
        <v>251640</v>
      </c>
      <c r="E6" s="8" t="s">
        <v>36</v>
      </c>
      <c r="F6" s="6" t="s">
        <v>11</v>
      </c>
      <c r="G6" s="6" t="s">
        <v>12</v>
      </c>
      <c r="H6" s="9">
        <v>3417.28</v>
      </c>
      <c r="I6" s="10">
        <v>0</v>
      </c>
      <c r="J6" s="10">
        <v>0</v>
      </c>
      <c r="K6" s="11">
        <v>3417.28</v>
      </c>
      <c r="L6" s="12" t="s">
        <v>57</v>
      </c>
    </row>
    <row r="7" spans="1:12" ht="61.5" customHeight="1" x14ac:dyDescent="0.35">
      <c r="A7" s="5">
        <v>5</v>
      </c>
      <c r="B7" s="6" t="s">
        <v>10</v>
      </c>
      <c r="C7" s="6" t="s">
        <v>13</v>
      </c>
      <c r="D7" s="7">
        <v>251641</v>
      </c>
      <c r="E7" s="8" t="s">
        <v>37</v>
      </c>
      <c r="F7" s="6" t="s">
        <v>11</v>
      </c>
      <c r="G7" s="6" t="s">
        <v>12</v>
      </c>
      <c r="H7" s="9">
        <v>4588.4799999999996</v>
      </c>
      <c r="I7" s="10">
        <v>4492</v>
      </c>
      <c r="J7" s="10">
        <v>0</v>
      </c>
      <c r="K7" s="11">
        <v>96.48</v>
      </c>
      <c r="L7" s="12" t="s">
        <v>56</v>
      </c>
    </row>
    <row r="8" spans="1:12" ht="66.75" customHeight="1" x14ac:dyDescent="0.35">
      <c r="A8" s="5">
        <v>6</v>
      </c>
      <c r="B8" s="6" t="s">
        <v>10</v>
      </c>
      <c r="C8" s="6" t="s">
        <v>13</v>
      </c>
      <c r="D8" s="7">
        <v>251642</v>
      </c>
      <c r="E8" s="8" t="s">
        <v>38</v>
      </c>
      <c r="F8" s="6" t="s">
        <v>11</v>
      </c>
      <c r="G8" s="6" t="s">
        <v>12</v>
      </c>
      <c r="H8" s="9">
        <v>6960.37</v>
      </c>
      <c r="I8" s="10">
        <v>0</v>
      </c>
      <c r="J8" s="10">
        <v>0</v>
      </c>
      <c r="K8" s="11">
        <v>6960.37</v>
      </c>
      <c r="L8" s="12" t="s">
        <v>55</v>
      </c>
    </row>
    <row r="9" spans="1:12" ht="47.25" customHeight="1" x14ac:dyDescent="0.35">
      <c r="A9" s="5">
        <v>7</v>
      </c>
      <c r="B9" s="6" t="s">
        <v>10</v>
      </c>
      <c r="C9" s="6" t="s">
        <v>13</v>
      </c>
      <c r="D9" s="7">
        <v>261258</v>
      </c>
      <c r="E9" s="8" t="s">
        <v>25</v>
      </c>
      <c r="F9" s="6" t="s">
        <v>15</v>
      </c>
      <c r="G9" s="6" t="s">
        <v>16</v>
      </c>
      <c r="H9" s="9">
        <v>5600</v>
      </c>
      <c r="I9" s="10">
        <v>0</v>
      </c>
      <c r="J9" s="10">
        <v>0</v>
      </c>
      <c r="K9" s="11">
        <v>3000</v>
      </c>
      <c r="L9" s="12" t="s">
        <v>58</v>
      </c>
    </row>
    <row r="10" spans="1:12" ht="45.75" customHeight="1" x14ac:dyDescent="0.35">
      <c r="A10" s="5">
        <v>8</v>
      </c>
      <c r="B10" s="6" t="s">
        <v>10</v>
      </c>
      <c r="C10" s="6" t="s">
        <v>13</v>
      </c>
      <c r="D10" s="7">
        <v>261259</v>
      </c>
      <c r="E10" s="8" t="s">
        <v>26</v>
      </c>
      <c r="F10" s="6" t="s">
        <v>15</v>
      </c>
      <c r="G10" s="6" t="s">
        <v>16</v>
      </c>
      <c r="H10" s="9">
        <v>5200</v>
      </c>
      <c r="I10" s="10">
        <v>0</v>
      </c>
      <c r="J10" s="10">
        <v>0</v>
      </c>
      <c r="K10" s="11">
        <v>3000</v>
      </c>
      <c r="L10" s="12" t="s">
        <v>61</v>
      </c>
    </row>
    <row r="11" spans="1:12" ht="54.75" customHeight="1" x14ac:dyDescent="0.35">
      <c r="A11" s="5">
        <v>9</v>
      </c>
      <c r="B11" s="6" t="s">
        <v>10</v>
      </c>
      <c r="C11" s="6" t="s">
        <v>13</v>
      </c>
      <c r="D11" s="7">
        <v>260564</v>
      </c>
      <c r="E11" s="8" t="s">
        <v>14</v>
      </c>
      <c r="F11" s="6" t="s">
        <v>15</v>
      </c>
      <c r="G11" s="6" t="s">
        <v>16</v>
      </c>
      <c r="H11" s="9">
        <v>5240</v>
      </c>
      <c r="I11" s="10">
        <v>0</v>
      </c>
      <c r="J11" s="10">
        <v>0</v>
      </c>
      <c r="K11" s="11">
        <v>1000</v>
      </c>
      <c r="L11" s="12" t="s">
        <v>60</v>
      </c>
    </row>
    <row r="12" spans="1:12" ht="150" x14ac:dyDescent="0.35">
      <c r="A12" s="5">
        <v>10</v>
      </c>
      <c r="B12" s="6" t="s">
        <v>10</v>
      </c>
      <c r="C12" s="6" t="s">
        <v>13</v>
      </c>
      <c r="D12" s="7">
        <v>260565</v>
      </c>
      <c r="E12" s="8" t="s">
        <v>17</v>
      </c>
      <c r="F12" s="6" t="s">
        <v>15</v>
      </c>
      <c r="G12" s="6" t="s">
        <v>16</v>
      </c>
      <c r="H12" s="9">
        <v>3500</v>
      </c>
      <c r="I12" s="10">
        <v>0</v>
      </c>
      <c r="J12" s="10">
        <v>0</v>
      </c>
      <c r="K12" s="11">
        <v>100</v>
      </c>
      <c r="L12" s="31" t="s">
        <v>63</v>
      </c>
    </row>
    <row r="13" spans="1:12" ht="48" customHeight="1" x14ac:dyDescent="0.35">
      <c r="A13" s="5">
        <v>11</v>
      </c>
      <c r="B13" s="6" t="s">
        <v>10</v>
      </c>
      <c r="C13" s="6" t="s">
        <v>13</v>
      </c>
      <c r="D13" s="7">
        <v>260566</v>
      </c>
      <c r="E13" s="8" t="s">
        <v>18</v>
      </c>
      <c r="F13" s="6" t="s">
        <v>15</v>
      </c>
      <c r="G13" s="6" t="s">
        <v>16</v>
      </c>
      <c r="H13" s="9">
        <v>9462</v>
      </c>
      <c r="I13" s="10">
        <v>0</v>
      </c>
      <c r="J13" s="10">
        <v>0</v>
      </c>
      <c r="K13" s="11">
        <v>1500</v>
      </c>
      <c r="L13" s="31" t="s">
        <v>65</v>
      </c>
    </row>
    <row r="14" spans="1:12" ht="44.25" customHeight="1" x14ac:dyDescent="0.35">
      <c r="A14" s="5">
        <v>12</v>
      </c>
      <c r="B14" s="6" t="s">
        <v>10</v>
      </c>
      <c r="C14" s="6" t="s">
        <v>13</v>
      </c>
      <c r="D14" s="7">
        <v>260567</v>
      </c>
      <c r="E14" s="8" t="s">
        <v>19</v>
      </c>
      <c r="F14" s="6" t="s">
        <v>15</v>
      </c>
      <c r="G14" s="6" t="s">
        <v>16</v>
      </c>
      <c r="H14" s="9">
        <v>14000</v>
      </c>
      <c r="I14" s="10">
        <v>0</v>
      </c>
      <c r="J14" s="10">
        <v>0</v>
      </c>
      <c r="K14" s="11">
        <v>3799.9479999999999</v>
      </c>
      <c r="L14" s="12" t="s">
        <v>62</v>
      </c>
    </row>
    <row r="15" spans="1:12" ht="75" x14ac:dyDescent="0.35">
      <c r="A15" s="5">
        <v>13</v>
      </c>
      <c r="B15" s="6" t="s">
        <v>10</v>
      </c>
      <c r="C15" s="6" t="s">
        <v>13</v>
      </c>
      <c r="D15" s="7">
        <v>260568</v>
      </c>
      <c r="E15" s="8" t="s">
        <v>20</v>
      </c>
      <c r="F15" s="6" t="s">
        <v>15</v>
      </c>
      <c r="G15" s="6" t="s">
        <v>16</v>
      </c>
      <c r="H15" s="9">
        <v>2314</v>
      </c>
      <c r="I15" s="10">
        <v>0</v>
      </c>
      <c r="J15" s="10">
        <v>0</v>
      </c>
      <c r="K15" s="11">
        <v>1000</v>
      </c>
      <c r="L15" s="12" t="s">
        <v>64</v>
      </c>
    </row>
    <row r="16" spans="1:12" ht="75" x14ac:dyDescent="0.35">
      <c r="A16" s="5">
        <v>14</v>
      </c>
      <c r="B16" s="6" t="s">
        <v>10</v>
      </c>
      <c r="C16" s="6" t="s">
        <v>13</v>
      </c>
      <c r="D16" s="7">
        <v>260569</v>
      </c>
      <c r="E16" s="8" t="s">
        <v>21</v>
      </c>
      <c r="F16" s="6" t="s">
        <v>15</v>
      </c>
      <c r="G16" s="6" t="s">
        <v>16</v>
      </c>
      <c r="H16" s="9">
        <v>750</v>
      </c>
      <c r="I16" s="10">
        <v>0</v>
      </c>
      <c r="J16" s="10">
        <v>0</v>
      </c>
      <c r="K16" s="11">
        <v>750</v>
      </c>
      <c r="L16" s="12" t="s">
        <v>64</v>
      </c>
    </row>
    <row r="17" spans="1:12" ht="41.25" customHeight="1" x14ac:dyDescent="0.35">
      <c r="A17" s="5">
        <v>15</v>
      </c>
      <c r="B17" s="6" t="s">
        <v>10</v>
      </c>
      <c r="C17" s="6" t="s">
        <v>13</v>
      </c>
      <c r="D17" s="7">
        <v>260616</v>
      </c>
      <c r="E17" s="8" t="s">
        <v>22</v>
      </c>
      <c r="F17" s="6" t="s">
        <v>15</v>
      </c>
      <c r="G17" s="6" t="s">
        <v>16</v>
      </c>
      <c r="H17" s="9">
        <v>1000</v>
      </c>
      <c r="I17" s="10">
        <v>0</v>
      </c>
      <c r="J17" s="10">
        <v>0</v>
      </c>
      <c r="K17" s="11">
        <v>150</v>
      </c>
      <c r="L17" s="12" t="s">
        <v>29</v>
      </c>
    </row>
    <row r="18" spans="1:12" ht="43.5" customHeight="1" x14ac:dyDescent="0.35">
      <c r="A18" s="5">
        <v>16</v>
      </c>
      <c r="B18" s="6" t="s">
        <v>10</v>
      </c>
      <c r="C18" s="6" t="s">
        <v>13</v>
      </c>
      <c r="D18" s="7">
        <v>260672</v>
      </c>
      <c r="E18" s="8" t="s">
        <v>23</v>
      </c>
      <c r="F18" s="6" t="s">
        <v>15</v>
      </c>
      <c r="G18" s="6" t="s">
        <v>16</v>
      </c>
      <c r="H18" s="9">
        <v>2500</v>
      </c>
      <c r="I18" s="10">
        <v>0</v>
      </c>
      <c r="J18" s="10">
        <v>0</v>
      </c>
      <c r="K18" s="11">
        <v>1000</v>
      </c>
      <c r="L18" s="12" t="s">
        <v>29</v>
      </c>
    </row>
    <row r="19" spans="1:12" ht="50.25" customHeight="1" x14ac:dyDescent="0.35">
      <c r="A19" s="5">
        <v>17</v>
      </c>
      <c r="B19" s="6" t="s">
        <v>10</v>
      </c>
      <c r="C19" s="6" t="s">
        <v>13</v>
      </c>
      <c r="D19" s="7">
        <v>250115</v>
      </c>
      <c r="E19" s="8" t="s">
        <v>45</v>
      </c>
      <c r="F19" s="6" t="s">
        <v>11</v>
      </c>
      <c r="G19" s="6" t="s">
        <v>12</v>
      </c>
      <c r="H19" s="9">
        <v>9756.6939999999995</v>
      </c>
      <c r="I19" s="10">
        <v>5000</v>
      </c>
      <c r="J19" s="10">
        <v>0</v>
      </c>
      <c r="K19" s="11">
        <v>4756.6940000000004</v>
      </c>
      <c r="L19" s="12" t="s">
        <v>30</v>
      </c>
    </row>
    <row r="20" spans="1:12" ht="98.25" customHeight="1" x14ac:dyDescent="0.35">
      <c r="A20" s="5">
        <v>18</v>
      </c>
      <c r="B20" s="6" t="s">
        <v>10</v>
      </c>
      <c r="C20" s="6" t="s">
        <v>13</v>
      </c>
      <c r="D20" s="7">
        <v>251607</v>
      </c>
      <c r="E20" s="8" t="s">
        <v>39</v>
      </c>
      <c r="F20" s="6" t="s">
        <v>11</v>
      </c>
      <c r="G20" s="6" t="s">
        <v>12</v>
      </c>
      <c r="H20" s="13">
        <v>16.614000000000001</v>
      </c>
      <c r="I20" s="13">
        <v>0</v>
      </c>
      <c r="J20" s="13">
        <v>0</v>
      </c>
      <c r="K20" s="14">
        <v>16.614000000000001</v>
      </c>
      <c r="L20" s="12" t="s">
        <v>31</v>
      </c>
    </row>
    <row r="21" spans="1:12" ht="50.25" customHeight="1" x14ac:dyDescent="0.35">
      <c r="A21" s="5">
        <v>19</v>
      </c>
      <c r="B21" s="6" t="s">
        <v>10</v>
      </c>
      <c r="C21" s="6" t="s">
        <v>13</v>
      </c>
      <c r="D21" s="7">
        <v>251615</v>
      </c>
      <c r="E21" s="8" t="s">
        <v>40</v>
      </c>
      <c r="F21" s="6" t="s">
        <v>11</v>
      </c>
      <c r="G21" s="6" t="s">
        <v>12</v>
      </c>
      <c r="H21" s="13">
        <v>30</v>
      </c>
      <c r="I21" s="13">
        <v>0</v>
      </c>
      <c r="J21" s="13">
        <v>0</v>
      </c>
      <c r="K21" s="14">
        <v>30</v>
      </c>
      <c r="L21" s="12" t="s">
        <v>32</v>
      </c>
    </row>
    <row r="22" spans="1:12" ht="65.25" customHeight="1" x14ac:dyDescent="0.35">
      <c r="A22" s="5">
        <v>20</v>
      </c>
      <c r="B22" s="6" t="s">
        <v>10</v>
      </c>
      <c r="C22" s="6" t="s">
        <v>13</v>
      </c>
      <c r="D22" s="7">
        <v>251614</v>
      </c>
      <c r="E22" s="8" t="s">
        <v>41</v>
      </c>
      <c r="F22" s="6" t="s">
        <v>11</v>
      </c>
      <c r="G22" s="6" t="s">
        <v>12</v>
      </c>
      <c r="H22" s="13">
        <v>300</v>
      </c>
      <c r="I22" s="13">
        <v>299.99900000000002</v>
      </c>
      <c r="J22" s="13">
        <v>0</v>
      </c>
      <c r="K22" s="14">
        <v>1E-3</v>
      </c>
      <c r="L22" s="15" t="s">
        <v>28</v>
      </c>
    </row>
    <row r="23" spans="1:12" ht="68.25" customHeight="1" x14ac:dyDescent="0.35">
      <c r="A23" s="5">
        <v>21</v>
      </c>
      <c r="B23" s="6" t="s">
        <v>10</v>
      </c>
      <c r="C23" s="6" t="s">
        <v>13</v>
      </c>
      <c r="D23" s="7">
        <v>251613</v>
      </c>
      <c r="E23" s="8" t="s">
        <v>42</v>
      </c>
      <c r="F23" s="6" t="s">
        <v>11</v>
      </c>
      <c r="G23" s="6" t="s">
        <v>12</v>
      </c>
      <c r="H23" s="13">
        <v>175</v>
      </c>
      <c r="I23" s="13">
        <v>174.999</v>
      </c>
      <c r="J23" s="13">
        <f>I23</f>
        <v>174.999</v>
      </c>
      <c r="K23" s="14">
        <v>1E-3</v>
      </c>
      <c r="L23" s="15" t="s">
        <v>28</v>
      </c>
    </row>
    <row r="24" spans="1:12" ht="68.25" customHeight="1" x14ac:dyDescent="0.35">
      <c r="A24" s="5">
        <v>22</v>
      </c>
      <c r="B24" s="6" t="s">
        <v>10</v>
      </c>
      <c r="C24" s="6" t="s">
        <v>13</v>
      </c>
      <c r="D24" s="7">
        <v>251297</v>
      </c>
      <c r="E24" s="8" t="s">
        <v>43</v>
      </c>
      <c r="F24" s="6" t="s">
        <v>11</v>
      </c>
      <c r="G24" s="6" t="s">
        <v>12</v>
      </c>
      <c r="H24" s="13">
        <v>1140.2470000000001</v>
      </c>
      <c r="I24" s="13">
        <v>49</v>
      </c>
      <c r="J24" s="13">
        <v>0</v>
      </c>
      <c r="K24" s="14">
        <v>300</v>
      </c>
      <c r="L24" s="15" t="s">
        <v>48</v>
      </c>
    </row>
    <row r="25" spans="1:12" ht="30" x14ac:dyDescent="0.35">
      <c r="A25" s="7">
        <v>23</v>
      </c>
      <c r="B25" s="6" t="s">
        <v>10</v>
      </c>
      <c r="C25" s="6" t="s">
        <v>46</v>
      </c>
      <c r="D25" s="6">
        <v>251627</v>
      </c>
      <c r="E25" s="24" t="s">
        <v>47</v>
      </c>
      <c r="F25" s="13" t="s">
        <v>11</v>
      </c>
      <c r="G25" s="13" t="s">
        <v>12</v>
      </c>
      <c r="H25" s="13">
        <v>4245.3670000000002</v>
      </c>
      <c r="I25" s="13">
        <v>300</v>
      </c>
      <c r="J25" s="13">
        <v>300</v>
      </c>
      <c r="K25" s="14">
        <v>2000</v>
      </c>
      <c r="L25" s="15" t="s">
        <v>48</v>
      </c>
    </row>
    <row r="26" spans="1:12" ht="42.75" customHeight="1" thickBot="1" x14ac:dyDescent="0.4">
      <c r="A26" s="26" t="s">
        <v>24</v>
      </c>
      <c r="B26" s="27"/>
      <c r="C26" s="27"/>
      <c r="D26" s="27"/>
      <c r="E26" s="27"/>
      <c r="F26" s="27"/>
      <c r="G26" s="27"/>
      <c r="H26" s="16">
        <f>SUM(H3:H25)</f>
        <v>91438.209000000003</v>
      </c>
      <c r="I26" s="17">
        <f>SUM(I3:I25)</f>
        <v>17465.998</v>
      </c>
      <c r="J26" s="17">
        <f>SUM(J3:J25)</f>
        <v>1474.999</v>
      </c>
      <c r="K26" s="18">
        <f>SUM(K3:K25)</f>
        <v>35296.304999999993</v>
      </c>
      <c r="L26" s="23"/>
    </row>
    <row r="27" spans="1:12" x14ac:dyDescent="0.35">
      <c r="A27" s="1"/>
      <c r="B27" s="1"/>
    </row>
    <row r="28" spans="1:12" ht="30" x14ac:dyDescent="0.35">
      <c r="A28" s="1"/>
      <c r="B28" s="1"/>
      <c r="C28" s="25" t="s">
        <v>52</v>
      </c>
      <c r="D28" s="25">
        <v>23</v>
      </c>
    </row>
    <row r="29" spans="1:12" ht="15" x14ac:dyDescent="0.35">
      <c r="A29" s="1"/>
      <c r="B29" s="1"/>
      <c r="C29" s="6" t="s">
        <v>50</v>
      </c>
      <c r="D29" s="6">
        <v>13</v>
      </c>
    </row>
    <row r="30" spans="1:12" ht="30" x14ac:dyDescent="0.35">
      <c r="A30" s="1"/>
      <c r="B30" s="1"/>
      <c r="C30" s="6" t="s">
        <v>51</v>
      </c>
      <c r="D30" s="6">
        <v>10</v>
      </c>
    </row>
    <row r="31" spans="1:12" x14ac:dyDescent="0.35">
      <c r="A31" s="1"/>
      <c r="B31" s="1"/>
    </row>
    <row r="32" spans="1:12" x14ac:dyDescent="0.35">
      <c r="A32" s="1"/>
      <c r="B32" s="1"/>
    </row>
    <row r="33" spans="1:2" x14ac:dyDescent="0.35">
      <c r="A33" s="1"/>
      <c r="B33" s="1"/>
    </row>
    <row r="34" spans="1:2" x14ac:dyDescent="0.35">
      <c r="A34" s="1"/>
      <c r="B34" s="1"/>
    </row>
    <row r="35" spans="1:2" x14ac:dyDescent="0.35">
      <c r="A35" s="1"/>
      <c r="B35" s="1"/>
    </row>
  </sheetData>
  <autoFilter ref="A2:L26" xr:uid="{AB2396CA-9EDC-45AE-8506-AEF7B4E5ED6E}"/>
  <mergeCells count="2">
    <mergeCell ref="A26:G26"/>
    <mergeCell ref="A1:L1"/>
  </mergeCells>
  <pageMargins left="0.74803149606299213" right="3.937007874015748E-2" top="0.39370078740157483" bottom="0.15748031496062992" header="0.55118110236220474" footer="0.31496062992125984"/>
  <pageSetup paperSize="9" scale="60" fitToHeight="0" orientation="landscape" r:id="rId1"/>
  <rowBreaks count="1" manualBreakCount="1">
    <brk id="15"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PRP</vt:lpstr>
      <vt:lpstr>PRP!Print_Titles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pph section</dc:creator>
  <cp:lastModifiedBy>Shah Zada</cp:lastModifiedBy>
  <cp:lastPrinted>2026-07-13T07:35:29Z</cp:lastPrinted>
  <dcterms:created xsi:type="dcterms:W3CDTF">2026-06-08T05:45:25Z</dcterms:created>
  <dcterms:modified xsi:type="dcterms:W3CDTF">2026-07-21T09:48:00Z</dcterms:modified>
</cp:coreProperties>
</file>