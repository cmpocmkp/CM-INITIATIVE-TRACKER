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B Letters\PRP Peshawar Revitalization Plan\"/>
    </mc:Choice>
  </mc:AlternateContent>
  <xr:revisionPtr revIDLastSave="0" documentId="13_ncr:1_{2A1ACA0D-8644-4BE8-8ACC-91D38F07EB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P All Projects" sheetId="4" r:id="rId1"/>
    <sheet name="ADP Projects" sheetId="2" r:id="rId2"/>
    <sheet name="KPCIP" sheetId="3" r:id="rId3"/>
  </sheets>
  <definedNames>
    <definedName name="_xlnm._FilterDatabase" localSheetId="0" hidden="1">'PRP All Projects'!$A$1:$N$33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M3" i="4"/>
  <c r="M31" i="4"/>
  <c r="M32" i="4"/>
  <c r="M30" i="4"/>
  <c r="M33" i="4"/>
  <c r="N43" i="4"/>
  <c r="M43" i="4"/>
  <c r="L43" i="4"/>
  <c r="K43" i="4"/>
  <c r="J43" i="4"/>
  <c r="I43" i="4"/>
  <c r="H43" i="4"/>
  <c r="N33" i="4"/>
  <c r="L33" i="4"/>
  <c r="K33" i="4"/>
  <c r="J33" i="4"/>
  <c r="I33" i="4"/>
  <c r="I49" i="4" s="1"/>
  <c r="H33" i="4"/>
  <c r="H49" i="4" s="1"/>
  <c r="M33" i="2"/>
  <c r="M8" i="3"/>
  <c r="L8" i="3"/>
  <c r="K8" i="3"/>
  <c r="J8" i="3"/>
  <c r="I8" i="3"/>
  <c r="H8" i="3"/>
  <c r="G8" i="3"/>
  <c r="H33" i="2"/>
  <c r="I33" i="2"/>
  <c r="J33" i="2"/>
  <c r="K33" i="2"/>
  <c r="L33" i="2"/>
  <c r="G33" i="2"/>
  <c r="N49" i="4" l="1"/>
  <c r="M34" i="2"/>
  <c r="M49" i="4"/>
  <c r="L49" i="4"/>
  <c r="K49" i="4"/>
  <c r="J49" i="4"/>
</calcChain>
</file>

<file path=xl/sharedStrings.xml><?xml version="1.0" encoding="utf-8"?>
<sst xmlns="http://schemas.openxmlformats.org/spreadsheetml/2006/main" count="488" uniqueCount="100">
  <si>
    <t>ADP Cost</t>
  </si>
  <si>
    <t>Prev. Exp</t>
  </si>
  <si>
    <t>Total Alloc</t>
  </si>
  <si>
    <t>Throw Fwd</t>
  </si>
  <si>
    <t>B</t>
  </si>
  <si>
    <t>Urban Development</t>
  </si>
  <si>
    <t>A</t>
  </si>
  <si>
    <t>F/S for Construction of STP at Faqir Kalay Peshawar</t>
  </si>
  <si>
    <t>250115</t>
  </si>
  <si>
    <t>Construction of Underpasses at Various Traffic Hotspots on Ring Road, Peshawar (PRP).</t>
  </si>
  <si>
    <t>251297</t>
  </si>
  <si>
    <t>Improvement of Water Supply Distribution Network in Peshawar (PRP).</t>
  </si>
  <si>
    <t>251597</t>
  </si>
  <si>
    <t>Construction of Northern Section of Ring Road (Missing Link) from Warsak Road to Nasir Bagh Road (Km 5+000 to Km 13+700)  (Phase-II) (PRP).</t>
  </si>
  <si>
    <t>251607</t>
  </si>
  <si>
    <t>Hiring of Consultancy services for Feasibility Studies, Detailed Engineering Design of "Frame of Peshawar" at entry from GT Road/M-1 and Designing of Entry Gates at Charsadda Road and Kohat Road, Peshawar (PRP).</t>
  </si>
  <si>
    <t>251611</t>
  </si>
  <si>
    <t>Uplifting of Existing 34 No. Parks in Peshawar (PRP)</t>
  </si>
  <si>
    <t>251612</t>
  </si>
  <si>
    <t>Installation/Rehabilitation of Electric Poles/Lights, Cabling etc. on Ring Road and GT/Jamrud Road (PRP).</t>
  </si>
  <si>
    <t>251613</t>
  </si>
  <si>
    <t>Purchase of Funeral Vehicles Including Fabrication / Modification of Chassis for Directorate of Eastern Zone CMG Peshawar (PRP).</t>
  </si>
  <si>
    <t>251614</t>
  </si>
  <si>
    <t>Supply/Erection of Street Light Accessories/New Installation at various NC’s of Directorate of Eastern Zone CMG Peshawar (PRP)</t>
  </si>
  <si>
    <t>251615</t>
  </si>
  <si>
    <t>Feasibility Studies, Uplifting, Conservation and Revitalization of the Walled City Peshawar (PRP).</t>
  </si>
  <si>
    <t>251640</t>
  </si>
  <si>
    <t>Upgrading and Uplifting Major Arterial Roads/Routes of Peshawar City, Phase-I (PRP).</t>
  </si>
  <si>
    <t>251641</t>
  </si>
  <si>
    <t>Upgrading and Uplifting Major Arterial Roads/Routes of Peshawar City, Phase-II (PRP).</t>
  </si>
  <si>
    <t>251642</t>
  </si>
  <si>
    <t>Construction of Level-2 Flyover at Ring Road-GT Road Intersection, Peshawar Revitalization Plan (PRP)</t>
  </si>
  <si>
    <t>260564</t>
  </si>
  <si>
    <t>Undergrounding PESCO Supply cabling (Pir Zakuri to Karkhano) (PRP)</t>
  </si>
  <si>
    <t>260565</t>
  </si>
  <si>
    <t>Construction of Link Road from Hayatabad Industrial Estate to Northern Bypass, Peshawar (PRP)</t>
  </si>
  <si>
    <t>260566</t>
  </si>
  <si>
    <t>Construction of Ring Road Missing Link (Nasir Bagh to RMT) (Phase-III) (PRP)</t>
  </si>
  <si>
    <t>260567</t>
  </si>
  <si>
    <t>Construction of under Passes on University Road, Ramdas-Chungi and Lahori Chowk (PRP)</t>
  </si>
  <si>
    <t>260568</t>
  </si>
  <si>
    <t>Development of Theme Park (PRP)</t>
  </si>
  <si>
    <t>260569</t>
  </si>
  <si>
    <t>Development of Hi-tech Children Park (PRP)</t>
  </si>
  <si>
    <t>260616</t>
  </si>
  <si>
    <t>Establishment of four Slaughter houses in Peshawar (PRP).</t>
  </si>
  <si>
    <t>260672</t>
  </si>
  <si>
    <t>Feasibility Study &amp; Establishment of Fruit &amp; Vegetable Markets in Peshawar (PRP).</t>
  </si>
  <si>
    <t>261258</t>
  </si>
  <si>
    <t>Upgrading and Uplifting Major Arterial Roads/Routes of Peshawar City, Phase-III (PRP).</t>
  </si>
  <si>
    <t>261259</t>
  </si>
  <si>
    <t>Upgrading and Uplifting Major Arterial Roads/Routes of Peshawar City, Phase-IV (PRP).</t>
  </si>
  <si>
    <t>Rehabilitation of Shahi Khatta Drain, Peshawar</t>
  </si>
  <si>
    <t>Water Supply Schemes in PHE Division Peshawar-I &amp; Peshawar-II (PRP).</t>
  </si>
  <si>
    <t>DWSS</t>
  </si>
  <si>
    <t>Urban and Peri-Urban Ecosystem Restoration and Plantation Interventions under Peshawar City Revitalization Plan (PRP)</t>
  </si>
  <si>
    <t>Forestry</t>
  </si>
  <si>
    <t>Widening of Peshawar Warsak road from st. Marry's school to Northern Bypass S-4 Length = 9 Km (PRP)</t>
  </si>
  <si>
    <t>PKHA Roads &amp; Bridges</t>
  </si>
  <si>
    <t>Construction of Link Roads From University Road to Ring Road (Northern Section) (PRP)</t>
  </si>
  <si>
    <t>Peshawar Revitalization Plan-"Uplift / Dualization / Beautification of Roads and allied works in Kabul River Canal System and Irrigation Infrastructure in District Peshawar (PRP)</t>
  </si>
  <si>
    <t>Water</t>
  </si>
  <si>
    <t>Peshawar Revitalization Plan- " Clearance / Improvement and Revamping of Budni Nullah and its allied Drainage system District Peshawar". (PRP)</t>
  </si>
  <si>
    <t>Peshawar Revitalization Plan - " Rehabilitation / Upgradation / Construction of Canal Patrol Road along both sides of Warsak lift Canal from Detour (RD:45+000) to Kohat Road (RD:101+000), District Peshawar (PRP)</t>
  </si>
  <si>
    <t>S.No.</t>
  </si>
  <si>
    <t>ADP No.</t>
  </si>
  <si>
    <t xml:space="preserve">Name of Scheme </t>
  </si>
  <si>
    <t>Approval Status</t>
  </si>
  <si>
    <t>Sector</t>
  </si>
  <si>
    <t>Capital Allocation</t>
  </si>
  <si>
    <t>Revenue Allocation</t>
  </si>
  <si>
    <t>Total:</t>
  </si>
  <si>
    <t>Procurement of Electric Road Cleaners</t>
  </si>
  <si>
    <t>Additional Vehicles in existing jurisdiction</t>
  </si>
  <si>
    <t>Improvement in existing LFS and TS</t>
  </si>
  <si>
    <t>KPCIP</t>
  </si>
  <si>
    <t>Funding</t>
  </si>
  <si>
    <t>Cost</t>
  </si>
  <si>
    <t xml:space="preserve">Urban Flooding Hotspots </t>
  </si>
  <si>
    <t>Drains and Sewers Rehabilitation</t>
  </si>
  <si>
    <t>Improvement of WS System  (WSSP)</t>
  </si>
  <si>
    <t>Summary Cost</t>
  </si>
  <si>
    <t>Grand Total:</t>
  </si>
  <si>
    <t>PDA</t>
  </si>
  <si>
    <t>CMGP</t>
  </si>
  <si>
    <t>WSSP</t>
  </si>
  <si>
    <t>PHED</t>
  </si>
  <si>
    <t>Forest</t>
  </si>
  <si>
    <t>Executng Agency</t>
  </si>
  <si>
    <t>C&amp;W</t>
  </si>
  <si>
    <t>Irrigation</t>
  </si>
  <si>
    <t>Non ADP</t>
  </si>
  <si>
    <t>Transport Modeling and Publc Transport</t>
  </si>
  <si>
    <t>Transport</t>
  </si>
  <si>
    <t>Missing</t>
  </si>
  <si>
    <t>Department</t>
  </si>
  <si>
    <t>LGE&amp;RDD</t>
  </si>
  <si>
    <t>PKHA</t>
  </si>
  <si>
    <t>Archeology</t>
  </si>
  <si>
    <t>Executing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</si>
</sst>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2"/>
      <color rgb="FFFFFFFF"/>
      <name val="Verdana"/>
      <family val="2"/>
    </font>
    <font>
      <sz val="12"/>
      <color rgb="FF000000"/>
      <name val="Verdana"/>
      <family val="2"/>
    </font>
    <font>
      <b/>
      <sz val="12"/>
      <color rgb="FF000000"/>
      <name val="Verdana"/>
      <family val="2"/>
    </font>
    <font>
      <b/>
      <sz val="12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Border="0"/>
  </cellStyleXfs>
  <cellXfs count="43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4" fontId="3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4" fontId="2" fillId="0" borderId="1" xfId="0" applyNumberFormat="1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4" fontId="3" fillId="0" borderId="0" xfId="0" applyNumberFormat="1" applyFont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/>
    </xf>
    <xf numFmtId="0" fontId="2" fillId="5" borderId="0" xfId="0" applyFont="1" applyFill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4" fontId="2" fillId="6" borderId="1" xfId="0" applyNumberFormat="1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0" fontId="2" fillId="6" borderId="0" xfId="0" applyFont="1" applyFill="1"/>
    <xf numFmtId="0" fontId="2" fillId="6" borderId="1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063C-E845-42D0-A5FB-BF9A90AC87FD}">
  <dimension ref="A1:DA49"/>
  <sheetViews>
    <sheetView tabSelected="1" zoomScale="70" zoomScaleNormal="70" workbookViewId="0">
      <selection activeCell="F33" sqref="F33"/>
    </sheetView>
  </sheetViews>
  <sheetFormatPr defaultRowHeight="42.6" customHeight="1" x14ac:dyDescent="0.3"/>
  <cols>
    <col min="1" max="1" width="7.88671875" style="10" customWidth="1"/>
    <col min="2" max="2" width="14.6640625" style="8" customWidth="1"/>
    <col min="3" max="3" width="91.33203125" style="9" customWidth="1"/>
    <col min="4" max="4" width="12.6640625" style="10" customWidth="1"/>
    <col min="5" max="5" width="26.21875" style="10" customWidth="1"/>
    <col min="6" max="7" width="18.44140625" style="10" customWidth="1"/>
    <col min="8" max="8" width="15.6640625" style="3" customWidth="1"/>
    <col min="9" max="13" width="14.6640625" style="3" customWidth="1"/>
    <col min="14" max="14" width="16.33203125" style="3" customWidth="1"/>
    <col min="15" max="16384" width="8.88671875" style="3"/>
  </cols>
  <sheetData>
    <row r="1" spans="1:105" s="24" customFormat="1" ht="42.6" customHeight="1" x14ac:dyDescent="0.3">
      <c r="A1" s="23" t="s">
        <v>64</v>
      </c>
      <c r="B1" s="23" t="s">
        <v>65</v>
      </c>
      <c r="C1" s="23" t="s">
        <v>66</v>
      </c>
      <c r="D1" s="23" t="s">
        <v>67</v>
      </c>
      <c r="E1" s="23" t="s">
        <v>68</v>
      </c>
      <c r="F1" s="23" t="s">
        <v>99</v>
      </c>
      <c r="G1" s="23" t="s">
        <v>95</v>
      </c>
      <c r="H1" s="23" t="s">
        <v>0</v>
      </c>
      <c r="I1" s="23" t="s">
        <v>1</v>
      </c>
      <c r="J1" s="23" t="s">
        <v>69</v>
      </c>
      <c r="K1" s="23" t="s">
        <v>70</v>
      </c>
      <c r="L1" s="23" t="s">
        <v>2</v>
      </c>
      <c r="M1" s="23" t="s">
        <v>3</v>
      </c>
      <c r="N1" s="23" t="s">
        <v>81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</row>
    <row r="2" spans="1:105" ht="42.6" customHeight="1" x14ac:dyDescent="0.3">
      <c r="A2" s="4">
        <v>1</v>
      </c>
      <c r="B2" s="4" t="s">
        <v>8</v>
      </c>
      <c r="C2" s="5" t="s">
        <v>9</v>
      </c>
      <c r="D2" s="4" t="s">
        <v>6</v>
      </c>
      <c r="E2" s="4" t="s">
        <v>5</v>
      </c>
      <c r="F2" s="4" t="s">
        <v>83</v>
      </c>
      <c r="G2" s="4" t="s">
        <v>96</v>
      </c>
      <c r="H2" s="6">
        <v>9756.6939999999995</v>
      </c>
      <c r="I2" s="6">
        <v>5000</v>
      </c>
      <c r="J2" s="6">
        <v>4756.6940000000004</v>
      </c>
      <c r="K2" s="6">
        <v>0</v>
      </c>
      <c r="L2" s="6">
        <v>4756.6940000000004</v>
      </c>
      <c r="M2" s="6">
        <v>0</v>
      </c>
      <c r="N2" s="6">
        <v>9990</v>
      </c>
    </row>
    <row r="3" spans="1:105" ht="42.6" customHeight="1" x14ac:dyDescent="0.3">
      <c r="A3" s="4">
        <v>2</v>
      </c>
      <c r="B3" s="4" t="s">
        <v>10</v>
      </c>
      <c r="C3" s="5" t="s">
        <v>11</v>
      </c>
      <c r="D3" s="4" t="s">
        <v>6</v>
      </c>
      <c r="E3" s="4" t="s">
        <v>5</v>
      </c>
      <c r="F3" s="4" t="s">
        <v>85</v>
      </c>
      <c r="G3" s="4" t="s">
        <v>96</v>
      </c>
      <c r="H3" s="6">
        <v>1140.2470000000001</v>
      </c>
      <c r="I3" s="6">
        <v>38.823</v>
      </c>
      <c r="J3" s="6">
        <v>300</v>
      </c>
      <c r="K3" s="6">
        <v>0</v>
      </c>
      <c r="L3" s="6">
        <v>300</v>
      </c>
      <c r="M3" s="6">
        <f>H3-I3-L3</f>
        <v>801.42399999999998</v>
      </c>
      <c r="N3" s="6">
        <v>1140.25</v>
      </c>
    </row>
    <row r="4" spans="1:105" ht="42.6" customHeight="1" x14ac:dyDescent="0.3">
      <c r="A4" s="4">
        <v>3</v>
      </c>
      <c r="B4" s="4" t="s">
        <v>12</v>
      </c>
      <c r="C4" s="5" t="s">
        <v>13</v>
      </c>
      <c r="D4" s="4" t="s">
        <v>6</v>
      </c>
      <c r="E4" s="4" t="s">
        <v>5</v>
      </c>
      <c r="F4" s="4" t="s">
        <v>83</v>
      </c>
      <c r="G4" s="4" t="s">
        <v>96</v>
      </c>
      <c r="H4" s="6">
        <v>9673.24</v>
      </c>
      <c r="I4" s="6">
        <v>6000</v>
      </c>
      <c r="J4" s="6">
        <v>2000</v>
      </c>
      <c r="K4" s="6">
        <v>0</v>
      </c>
      <c r="L4" s="6">
        <v>2000</v>
      </c>
      <c r="M4" s="6">
        <v>1673.24</v>
      </c>
      <c r="N4" s="6">
        <v>9841</v>
      </c>
    </row>
    <row r="5" spans="1:105" ht="52.8" customHeight="1" x14ac:dyDescent="0.3">
      <c r="A5" s="4">
        <v>4</v>
      </c>
      <c r="B5" s="4" t="s">
        <v>14</v>
      </c>
      <c r="C5" s="5" t="s">
        <v>15</v>
      </c>
      <c r="D5" s="4" t="s">
        <v>6</v>
      </c>
      <c r="E5" s="4" t="s">
        <v>5</v>
      </c>
      <c r="F5" s="4" t="s">
        <v>83</v>
      </c>
      <c r="G5" s="4" t="s">
        <v>96</v>
      </c>
      <c r="H5" s="6">
        <v>16.614000000000001</v>
      </c>
      <c r="I5" s="6">
        <v>0</v>
      </c>
      <c r="J5" s="6">
        <v>16.614000000000001</v>
      </c>
      <c r="K5" s="6">
        <v>0</v>
      </c>
      <c r="L5" s="6">
        <v>16.614000000000001</v>
      </c>
      <c r="M5" s="6">
        <v>0</v>
      </c>
      <c r="N5" s="6">
        <v>30</v>
      </c>
    </row>
    <row r="6" spans="1:105" ht="42.6" customHeight="1" x14ac:dyDescent="0.3">
      <c r="A6" s="4">
        <v>5</v>
      </c>
      <c r="B6" s="4" t="s">
        <v>16</v>
      </c>
      <c r="C6" s="5" t="s">
        <v>17</v>
      </c>
      <c r="D6" s="4" t="s">
        <v>6</v>
      </c>
      <c r="E6" s="4" t="s">
        <v>5</v>
      </c>
      <c r="F6" s="4" t="s">
        <v>83</v>
      </c>
      <c r="G6" s="4" t="s">
        <v>96</v>
      </c>
      <c r="H6" s="6">
        <v>999.69100000000003</v>
      </c>
      <c r="I6" s="6">
        <v>581</v>
      </c>
      <c r="J6" s="6">
        <v>418.69099999999997</v>
      </c>
      <c r="K6" s="6">
        <v>0</v>
      </c>
      <c r="L6" s="6">
        <v>418.69099999999997</v>
      </c>
      <c r="M6" s="6">
        <v>0</v>
      </c>
      <c r="N6" s="6">
        <v>1000</v>
      </c>
    </row>
    <row r="7" spans="1:105" ht="42.6" customHeight="1" x14ac:dyDescent="0.3">
      <c r="A7" s="4">
        <v>6</v>
      </c>
      <c r="B7" s="4" t="s">
        <v>18</v>
      </c>
      <c r="C7" s="5" t="s">
        <v>19</v>
      </c>
      <c r="D7" s="4" t="s">
        <v>6</v>
      </c>
      <c r="E7" s="4" t="s">
        <v>5</v>
      </c>
      <c r="F7" s="4" t="s">
        <v>83</v>
      </c>
      <c r="G7" s="4" t="s">
        <v>96</v>
      </c>
      <c r="H7" s="6">
        <v>569.226</v>
      </c>
      <c r="I7" s="6">
        <v>569</v>
      </c>
      <c r="J7" s="6">
        <v>0.22600000000000001</v>
      </c>
      <c r="K7" s="6">
        <v>0</v>
      </c>
      <c r="L7" s="6">
        <v>0.22600000000000001</v>
      </c>
      <c r="M7" s="6">
        <v>0</v>
      </c>
      <c r="N7" s="6">
        <v>500</v>
      </c>
    </row>
    <row r="8" spans="1:105" ht="42.6" customHeight="1" x14ac:dyDescent="0.3">
      <c r="A8" s="4">
        <v>7</v>
      </c>
      <c r="B8" s="4" t="s">
        <v>20</v>
      </c>
      <c r="C8" s="5" t="s">
        <v>21</v>
      </c>
      <c r="D8" s="4" t="s">
        <v>6</v>
      </c>
      <c r="E8" s="4" t="s">
        <v>5</v>
      </c>
      <c r="F8" s="4" t="s">
        <v>84</v>
      </c>
      <c r="G8" s="4" t="s">
        <v>96</v>
      </c>
      <c r="H8" s="6">
        <v>175</v>
      </c>
      <c r="I8" s="6">
        <v>174.999</v>
      </c>
      <c r="J8" s="6">
        <v>1E-3</v>
      </c>
      <c r="K8" s="6">
        <v>0</v>
      </c>
      <c r="L8" s="6">
        <v>1E-3</v>
      </c>
      <c r="M8" s="6">
        <v>0</v>
      </c>
      <c r="N8" s="6">
        <v>175</v>
      </c>
    </row>
    <row r="9" spans="1:105" ht="42.6" customHeight="1" x14ac:dyDescent="0.3">
      <c r="A9" s="4">
        <v>8</v>
      </c>
      <c r="B9" s="4" t="s">
        <v>22</v>
      </c>
      <c r="C9" s="5" t="s">
        <v>23</v>
      </c>
      <c r="D9" s="4" t="s">
        <v>6</v>
      </c>
      <c r="E9" s="4" t="s">
        <v>5</v>
      </c>
      <c r="F9" s="4" t="s">
        <v>84</v>
      </c>
      <c r="G9" s="4" t="s">
        <v>96</v>
      </c>
      <c r="H9" s="6">
        <v>300</v>
      </c>
      <c r="I9" s="6">
        <v>299.99900000000002</v>
      </c>
      <c r="J9" s="6">
        <v>1E-3</v>
      </c>
      <c r="K9" s="6">
        <v>0</v>
      </c>
      <c r="L9" s="6">
        <v>1E-3</v>
      </c>
      <c r="M9" s="6">
        <v>0</v>
      </c>
      <c r="N9" s="6">
        <v>300</v>
      </c>
    </row>
    <row r="10" spans="1:105" ht="42.6" customHeight="1" x14ac:dyDescent="0.3">
      <c r="A10" s="4">
        <v>9</v>
      </c>
      <c r="B10" s="4" t="s">
        <v>24</v>
      </c>
      <c r="C10" s="5" t="s">
        <v>25</v>
      </c>
      <c r="D10" s="4" t="s">
        <v>6</v>
      </c>
      <c r="E10" s="4" t="s">
        <v>5</v>
      </c>
      <c r="F10" s="4" t="s">
        <v>98</v>
      </c>
      <c r="G10" s="4" t="s">
        <v>98</v>
      </c>
      <c r="H10" s="6">
        <v>30</v>
      </c>
      <c r="I10" s="6">
        <v>0</v>
      </c>
      <c r="J10" s="6">
        <v>30</v>
      </c>
      <c r="K10" s="6">
        <v>0</v>
      </c>
      <c r="L10" s="6">
        <v>30</v>
      </c>
      <c r="M10" s="6">
        <v>0</v>
      </c>
      <c r="N10" s="6">
        <v>57</v>
      </c>
    </row>
    <row r="11" spans="1:105" ht="42.6" customHeight="1" x14ac:dyDescent="0.3">
      <c r="A11" s="4">
        <v>10</v>
      </c>
      <c r="B11" s="4" t="s">
        <v>26</v>
      </c>
      <c r="C11" s="5" t="s">
        <v>27</v>
      </c>
      <c r="D11" s="4" t="s">
        <v>6</v>
      </c>
      <c r="E11" s="4" t="s">
        <v>5</v>
      </c>
      <c r="F11" s="4" t="s">
        <v>83</v>
      </c>
      <c r="G11" s="4" t="s">
        <v>96</v>
      </c>
      <c r="H11" s="6">
        <v>3417.28</v>
      </c>
      <c r="I11" s="6">
        <v>0</v>
      </c>
      <c r="J11" s="6">
        <v>3417.28</v>
      </c>
      <c r="K11" s="6">
        <v>0</v>
      </c>
      <c r="L11" s="6">
        <v>3417.28</v>
      </c>
      <c r="M11" s="6">
        <v>0</v>
      </c>
      <c r="N11" s="6">
        <v>19905</v>
      </c>
    </row>
    <row r="12" spans="1:105" ht="42.6" customHeight="1" x14ac:dyDescent="0.3">
      <c r="A12" s="4">
        <v>11</v>
      </c>
      <c r="B12" s="4" t="s">
        <v>28</v>
      </c>
      <c r="C12" s="5" t="s">
        <v>29</v>
      </c>
      <c r="D12" s="4" t="s">
        <v>6</v>
      </c>
      <c r="E12" s="4" t="s">
        <v>5</v>
      </c>
      <c r="F12" s="4" t="s">
        <v>83</v>
      </c>
      <c r="G12" s="4" t="s">
        <v>96</v>
      </c>
      <c r="H12" s="6">
        <v>4588.4799999999996</v>
      </c>
      <c r="I12" s="6">
        <v>4492</v>
      </c>
      <c r="J12" s="6">
        <v>96.48</v>
      </c>
      <c r="K12" s="6">
        <v>0</v>
      </c>
      <c r="L12" s="6">
        <v>96.48</v>
      </c>
      <c r="M12" s="6">
        <v>0</v>
      </c>
      <c r="N12" s="6">
        <v>0</v>
      </c>
    </row>
    <row r="13" spans="1:105" ht="42.6" customHeight="1" x14ac:dyDescent="0.3">
      <c r="A13" s="4">
        <v>12</v>
      </c>
      <c r="B13" s="4" t="s">
        <v>30</v>
      </c>
      <c r="C13" s="5" t="s">
        <v>31</v>
      </c>
      <c r="D13" s="4" t="s">
        <v>6</v>
      </c>
      <c r="E13" s="4" t="s">
        <v>5</v>
      </c>
      <c r="F13" s="4" t="s">
        <v>83</v>
      </c>
      <c r="G13" s="4" t="s">
        <v>96</v>
      </c>
      <c r="H13" s="6">
        <v>6960.37</v>
      </c>
      <c r="I13" s="6">
        <v>0</v>
      </c>
      <c r="J13" s="6">
        <v>6960.37</v>
      </c>
      <c r="K13" s="6">
        <v>0</v>
      </c>
      <c r="L13" s="6">
        <v>6960.37</v>
      </c>
      <c r="M13" s="6">
        <v>0</v>
      </c>
      <c r="N13" s="6">
        <v>18000</v>
      </c>
    </row>
    <row r="14" spans="1:105" ht="42.6" customHeight="1" x14ac:dyDescent="0.3">
      <c r="A14" s="4">
        <v>13</v>
      </c>
      <c r="B14" s="4" t="s">
        <v>32</v>
      </c>
      <c r="C14" s="5" t="s">
        <v>33</v>
      </c>
      <c r="D14" s="4" t="s">
        <v>4</v>
      </c>
      <c r="E14" s="4" t="s">
        <v>5</v>
      </c>
      <c r="F14" s="4" t="s">
        <v>83</v>
      </c>
      <c r="G14" s="4" t="s">
        <v>96</v>
      </c>
      <c r="H14" s="6">
        <v>5240</v>
      </c>
      <c r="I14" s="6">
        <v>0</v>
      </c>
      <c r="J14" s="6">
        <v>1000</v>
      </c>
      <c r="K14" s="6">
        <v>0</v>
      </c>
      <c r="L14" s="6">
        <v>1000</v>
      </c>
      <c r="M14" s="6">
        <v>4240</v>
      </c>
      <c r="N14" s="6">
        <v>5246</v>
      </c>
    </row>
    <row r="15" spans="1:105" ht="42.6" customHeight="1" x14ac:dyDescent="0.3">
      <c r="A15" s="4">
        <v>14</v>
      </c>
      <c r="B15" s="4" t="s">
        <v>34</v>
      </c>
      <c r="C15" s="5" t="s">
        <v>35</v>
      </c>
      <c r="D15" s="4" t="s">
        <v>4</v>
      </c>
      <c r="E15" s="4" t="s">
        <v>5</v>
      </c>
      <c r="F15" s="4" t="s">
        <v>83</v>
      </c>
      <c r="G15" s="4" t="s">
        <v>96</v>
      </c>
      <c r="H15" s="6">
        <v>3500</v>
      </c>
      <c r="I15" s="6">
        <v>0</v>
      </c>
      <c r="J15" s="6">
        <v>100</v>
      </c>
      <c r="K15" s="6">
        <v>0</v>
      </c>
      <c r="L15" s="6">
        <v>100</v>
      </c>
      <c r="M15" s="6">
        <v>3400</v>
      </c>
      <c r="N15" s="6">
        <v>3500</v>
      </c>
    </row>
    <row r="16" spans="1:105" ht="42.6" customHeight="1" x14ac:dyDescent="0.3">
      <c r="A16" s="4">
        <v>15</v>
      </c>
      <c r="B16" s="4" t="s">
        <v>36</v>
      </c>
      <c r="C16" s="5" t="s">
        <v>37</v>
      </c>
      <c r="D16" s="4" t="s">
        <v>4</v>
      </c>
      <c r="E16" s="4" t="s">
        <v>5</v>
      </c>
      <c r="F16" s="4" t="s">
        <v>83</v>
      </c>
      <c r="G16" s="4" t="s">
        <v>96</v>
      </c>
      <c r="H16" s="6">
        <v>9462</v>
      </c>
      <c r="I16" s="6">
        <v>0</v>
      </c>
      <c r="J16" s="6">
        <v>1500</v>
      </c>
      <c r="K16" s="6">
        <v>0</v>
      </c>
      <c r="L16" s="6">
        <v>1500</v>
      </c>
      <c r="M16" s="6">
        <v>7962</v>
      </c>
      <c r="N16" s="6">
        <v>9462</v>
      </c>
    </row>
    <row r="17" spans="1:34" ht="42.6" customHeight="1" x14ac:dyDescent="0.3">
      <c r="A17" s="4">
        <v>16</v>
      </c>
      <c r="B17" s="4" t="s">
        <v>38</v>
      </c>
      <c r="C17" s="5" t="s">
        <v>39</v>
      </c>
      <c r="D17" s="4" t="s">
        <v>4</v>
      </c>
      <c r="E17" s="4" t="s">
        <v>5</v>
      </c>
      <c r="F17" s="4" t="s">
        <v>83</v>
      </c>
      <c r="G17" s="4" t="s">
        <v>96</v>
      </c>
      <c r="H17" s="6">
        <v>14000</v>
      </c>
      <c r="I17" s="6">
        <v>0</v>
      </c>
      <c r="J17" s="6">
        <v>3799.944</v>
      </c>
      <c r="K17" s="6">
        <v>0</v>
      </c>
      <c r="L17" s="6">
        <v>3799.944</v>
      </c>
      <c r="M17" s="6">
        <v>10200.056</v>
      </c>
      <c r="N17" s="6">
        <v>14000</v>
      </c>
    </row>
    <row r="18" spans="1:34" ht="42.6" customHeight="1" x14ac:dyDescent="0.3">
      <c r="A18" s="4">
        <v>17</v>
      </c>
      <c r="B18" s="4" t="s">
        <v>40</v>
      </c>
      <c r="C18" s="5" t="s">
        <v>41</v>
      </c>
      <c r="D18" s="4" t="s">
        <v>4</v>
      </c>
      <c r="E18" s="4" t="s">
        <v>5</v>
      </c>
      <c r="F18" s="4" t="s">
        <v>83</v>
      </c>
      <c r="G18" s="4" t="s">
        <v>96</v>
      </c>
      <c r="H18" s="6">
        <v>2314</v>
      </c>
      <c r="I18" s="6">
        <v>0</v>
      </c>
      <c r="J18" s="6">
        <v>1000</v>
      </c>
      <c r="K18" s="6">
        <v>0</v>
      </c>
      <c r="L18" s="6">
        <v>1000</v>
      </c>
      <c r="M18" s="6">
        <v>1314</v>
      </c>
      <c r="N18" s="6">
        <v>2314</v>
      </c>
    </row>
    <row r="19" spans="1:34" ht="42.6" customHeight="1" x14ac:dyDescent="0.3">
      <c r="A19" s="4">
        <v>18</v>
      </c>
      <c r="B19" s="4" t="s">
        <v>42</v>
      </c>
      <c r="C19" s="5" t="s">
        <v>43</v>
      </c>
      <c r="D19" s="4" t="s">
        <v>4</v>
      </c>
      <c r="E19" s="4" t="s">
        <v>5</v>
      </c>
      <c r="F19" s="4" t="s">
        <v>83</v>
      </c>
      <c r="G19" s="4" t="s">
        <v>96</v>
      </c>
      <c r="H19" s="6">
        <v>750</v>
      </c>
      <c r="I19" s="6">
        <v>0</v>
      </c>
      <c r="J19" s="6">
        <v>750</v>
      </c>
      <c r="K19" s="6">
        <v>0</v>
      </c>
      <c r="L19" s="6">
        <v>750</v>
      </c>
      <c r="M19" s="6">
        <v>0</v>
      </c>
      <c r="N19" s="6">
        <v>750</v>
      </c>
    </row>
    <row r="20" spans="1:34" ht="42.6" customHeight="1" x14ac:dyDescent="0.3">
      <c r="A20" s="4">
        <v>19</v>
      </c>
      <c r="B20" s="4" t="s">
        <v>44</v>
      </c>
      <c r="C20" s="5" t="s">
        <v>45</v>
      </c>
      <c r="D20" s="4" t="s">
        <v>4</v>
      </c>
      <c r="E20" s="4" t="s">
        <v>5</v>
      </c>
      <c r="F20" s="4" t="s">
        <v>84</v>
      </c>
      <c r="G20" s="4" t="s">
        <v>96</v>
      </c>
      <c r="H20" s="6">
        <v>1000</v>
      </c>
      <c r="I20" s="6">
        <v>0</v>
      </c>
      <c r="J20" s="6">
        <v>100</v>
      </c>
      <c r="K20" s="6">
        <v>50</v>
      </c>
      <c r="L20" s="6">
        <v>150</v>
      </c>
      <c r="M20" s="6">
        <v>850</v>
      </c>
      <c r="N20" s="6">
        <v>1000</v>
      </c>
    </row>
    <row r="21" spans="1:34" ht="42.6" customHeight="1" x14ac:dyDescent="0.3">
      <c r="A21" s="4">
        <v>20</v>
      </c>
      <c r="B21" s="4" t="s">
        <v>46</v>
      </c>
      <c r="C21" s="5" t="s">
        <v>47</v>
      </c>
      <c r="D21" s="4" t="s">
        <v>4</v>
      </c>
      <c r="E21" s="4" t="s">
        <v>5</v>
      </c>
      <c r="F21" s="4" t="s">
        <v>84</v>
      </c>
      <c r="G21" s="4" t="s">
        <v>96</v>
      </c>
      <c r="H21" s="6">
        <v>2500</v>
      </c>
      <c r="I21" s="6">
        <v>0</v>
      </c>
      <c r="J21" s="6">
        <v>1000</v>
      </c>
      <c r="K21" s="6">
        <v>0</v>
      </c>
      <c r="L21" s="6">
        <v>1000</v>
      </c>
      <c r="M21" s="6">
        <v>1500</v>
      </c>
      <c r="N21" s="6">
        <v>2500</v>
      </c>
    </row>
    <row r="22" spans="1:34" ht="42.6" customHeight="1" x14ac:dyDescent="0.3">
      <c r="A22" s="4">
        <v>21</v>
      </c>
      <c r="B22" s="4" t="s">
        <v>48</v>
      </c>
      <c r="C22" s="5" t="s">
        <v>49</v>
      </c>
      <c r="D22" s="4" t="s">
        <v>4</v>
      </c>
      <c r="E22" s="4" t="s">
        <v>5</v>
      </c>
      <c r="F22" s="4" t="s">
        <v>83</v>
      </c>
      <c r="G22" s="4" t="s">
        <v>96</v>
      </c>
      <c r="H22" s="6">
        <v>5600</v>
      </c>
      <c r="I22" s="6">
        <v>0</v>
      </c>
      <c r="J22" s="6">
        <v>3000</v>
      </c>
      <c r="K22" s="6">
        <v>0</v>
      </c>
      <c r="L22" s="6">
        <v>3000</v>
      </c>
      <c r="M22" s="6">
        <v>2600</v>
      </c>
      <c r="N22" s="6">
        <v>0</v>
      </c>
    </row>
    <row r="23" spans="1:34" ht="42.6" customHeight="1" x14ac:dyDescent="0.3">
      <c r="A23" s="4">
        <v>22</v>
      </c>
      <c r="B23" s="4" t="s">
        <v>50</v>
      </c>
      <c r="C23" s="5" t="s">
        <v>51</v>
      </c>
      <c r="D23" s="4" t="s">
        <v>4</v>
      </c>
      <c r="E23" s="4" t="s">
        <v>5</v>
      </c>
      <c r="F23" s="4" t="s">
        <v>83</v>
      </c>
      <c r="G23" s="4" t="s">
        <v>96</v>
      </c>
      <c r="H23" s="6">
        <v>5200</v>
      </c>
      <c r="I23" s="6">
        <v>0</v>
      </c>
      <c r="J23" s="6">
        <v>3000</v>
      </c>
      <c r="K23" s="6">
        <v>0</v>
      </c>
      <c r="L23" s="6">
        <v>3000</v>
      </c>
      <c r="M23" s="6">
        <v>2200</v>
      </c>
      <c r="N23" s="6">
        <v>0</v>
      </c>
    </row>
    <row r="24" spans="1:34" s="38" customFormat="1" ht="42.6" customHeight="1" x14ac:dyDescent="0.3">
      <c r="A24" s="4">
        <v>23</v>
      </c>
      <c r="B24" s="4">
        <v>261326</v>
      </c>
      <c r="C24" s="5" t="s">
        <v>52</v>
      </c>
      <c r="D24" s="4" t="s">
        <v>4</v>
      </c>
      <c r="E24" s="4" t="s">
        <v>5</v>
      </c>
      <c r="F24" s="4" t="s">
        <v>85</v>
      </c>
      <c r="G24" s="4" t="s">
        <v>96</v>
      </c>
      <c r="H24" s="6">
        <v>3437.78</v>
      </c>
      <c r="I24" s="6">
        <v>0</v>
      </c>
      <c r="J24" s="6">
        <v>0</v>
      </c>
      <c r="K24" s="6">
        <v>0</v>
      </c>
      <c r="L24" s="6">
        <v>0</v>
      </c>
      <c r="M24" s="6">
        <v>3437.78</v>
      </c>
      <c r="N24" s="6">
        <v>3300.78</v>
      </c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</row>
    <row r="25" spans="1:34" s="38" customFormat="1" ht="42.6" customHeight="1" x14ac:dyDescent="0.3">
      <c r="A25" s="33">
        <v>24</v>
      </c>
      <c r="B25" s="33">
        <v>210137</v>
      </c>
      <c r="C25" s="39" t="s">
        <v>7</v>
      </c>
      <c r="D25" s="33" t="s">
        <v>6</v>
      </c>
      <c r="E25" s="33" t="s">
        <v>5</v>
      </c>
      <c r="F25" s="33" t="s">
        <v>85</v>
      </c>
      <c r="G25" s="33" t="s">
        <v>96</v>
      </c>
      <c r="H25" s="36">
        <v>46.43</v>
      </c>
      <c r="I25" s="36">
        <v>5.4</v>
      </c>
      <c r="J25" s="36">
        <v>10</v>
      </c>
      <c r="K25" s="36">
        <v>0</v>
      </c>
      <c r="L25" s="36">
        <v>10</v>
      </c>
      <c r="M25" s="36">
        <v>31.03</v>
      </c>
      <c r="N25" s="36">
        <v>17520</v>
      </c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</row>
    <row r="26" spans="1:34" ht="42.6" customHeight="1" x14ac:dyDescent="0.3">
      <c r="A26" s="4">
        <v>25</v>
      </c>
      <c r="B26" s="4">
        <v>251627</v>
      </c>
      <c r="C26" s="5" t="s">
        <v>53</v>
      </c>
      <c r="D26" s="4" t="s">
        <v>6</v>
      </c>
      <c r="E26" s="4" t="s">
        <v>54</v>
      </c>
      <c r="F26" s="4" t="s">
        <v>86</v>
      </c>
      <c r="G26" s="4" t="s">
        <v>86</v>
      </c>
      <c r="H26" s="6">
        <v>4245.3670000000002</v>
      </c>
      <c r="I26" s="6">
        <v>300</v>
      </c>
      <c r="J26" s="6">
        <v>2000</v>
      </c>
      <c r="K26" s="6">
        <v>0</v>
      </c>
      <c r="L26" s="6">
        <v>2000</v>
      </c>
      <c r="M26" s="6">
        <v>1945.367</v>
      </c>
      <c r="N26" s="6">
        <v>4245.3670000000002</v>
      </c>
    </row>
    <row r="27" spans="1:34" ht="42.6" customHeight="1" x14ac:dyDescent="0.3">
      <c r="A27" s="4">
        <v>26</v>
      </c>
      <c r="B27" s="4">
        <v>251624</v>
      </c>
      <c r="C27" s="5" t="s">
        <v>55</v>
      </c>
      <c r="D27" s="4" t="s">
        <v>6</v>
      </c>
      <c r="E27" s="4" t="s">
        <v>56</v>
      </c>
      <c r="F27" s="4" t="s">
        <v>87</v>
      </c>
      <c r="G27" s="4" t="s">
        <v>87</v>
      </c>
      <c r="H27" s="6">
        <v>559.34199999999998</v>
      </c>
      <c r="I27" s="6">
        <v>68.099999999999994</v>
      </c>
      <c r="J27" s="6">
        <v>0</v>
      </c>
      <c r="K27" s="6">
        <v>192.02</v>
      </c>
      <c r="L27" s="6">
        <v>192.02</v>
      </c>
      <c r="M27" s="6">
        <v>367.32</v>
      </c>
      <c r="N27" s="6">
        <v>525</v>
      </c>
    </row>
    <row r="28" spans="1:34" ht="42.6" customHeight="1" x14ac:dyDescent="0.3">
      <c r="A28" s="4">
        <v>27</v>
      </c>
      <c r="B28" s="4">
        <v>260387</v>
      </c>
      <c r="C28" s="5" t="s">
        <v>57</v>
      </c>
      <c r="D28" s="4" t="s">
        <v>4</v>
      </c>
      <c r="E28" s="4" t="s">
        <v>58</v>
      </c>
      <c r="F28" s="4" t="s">
        <v>97</v>
      </c>
      <c r="G28" s="4" t="s">
        <v>89</v>
      </c>
      <c r="H28" s="6">
        <v>7000</v>
      </c>
      <c r="I28" s="6">
        <v>0</v>
      </c>
      <c r="J28" s="6">
        <v>100</v>
      </c>
      <c r="K28" s="6">
        <v>0</v>
      </c>
      <c r="L28" s="6">
        <v>100</v>
      </c>
      <c r="M28" s="6">
        <v>6900</v>
      </c>
      <c r="N28" s="6">
        <v>7000</v>
      </c>
    </row>
    <row r="29" spans="1:34" ht="42.6" customHeight="1" x14ac:dyDescent="0.3">
      <c r="A29" s="4">
        <v>28</v>
      </c>
      <c r="B29" s="4">
        <v>260835</v>
      </c>
      <c r="C29" s="5" t="s">
        <v>59</v>
      </c>
      <c r="D29" s="4" t="s">
        <v>4</v>
      </c>
      <c r="E29" s="4" t="s">
        <v>58</v>
      </c>
      <c r="F29" s="4" t="s">
        <v>97</v>
      </c>
      <c r="G29" s="4" t="s">
        <v>89</v>
      </c>
      <c r="H29" s="6">
        <v>5100</v>
      </c>
      <c r="I29" s="6">
        <v>0</v>
      </c>
      <c r="J29" s="6">
        <v>100</v>
      </c>
      <c r="K29" s="6">
        <v>0</v>
      </c>
      <c r="L29" s="6">
        <v>100</v>
      </c>
      <c r="M29" s="6">
        <v>5000</v>
      </c>
      <c r="N29" s="6">
        <v>4000</v>
      </c>
    </row>
    <row r="30" spans="1:34" ht="50.4" customHeight="1" x14ac:dyDescent="0.3">
      <c r="A30" s="4">
        <v>29</v>
      </c>
      <c r="B30" s="4">
        <v>251603</v>
      </c>
      <c r="C30" s="5" t="s">
        <v>60</v>
      </c>
      <c r="D30" s="4" t="s">
        <v>6</v>
      </c>
      <c r="E30" s="4" t="s">
        <v>61</v>
      </c>
      <c r="F30" s="4" t="s">
        <v>90</v>
      </c>
      <c r="G30" s="4" t="s">
        <v>90</v>
      </c>
      <c r="H30" s="6">
        <v>6636.8220000000001</v>
      </c>
      <c r="I30" s="6">
        <v>400</v>
      </c>
      <c r="J30" s="6">
        <v>100</v>
      </c>
      <c r="K30" s="6">
        <v>0</v>
      </c>
      <c r="L30" s="6">
        <v>100</v>
      </c>
      <c r="M30" s="6">
        <f>H30-I30-J30</f>
        <v>6136.8220000000001</v>
      </c>
      <c r="N30" s="6">
        <v>6636.82</v>
      </c>
    </row>
    <row r="31" spans="1:34" ht="42.6" customHeight="1" x14ac:dyDescent="0.3">
      <c r="A31" s="4">
        <v>30</v>
      </c>
      <c r="B31" s="4">
        <v>251604</v>
      </c>
      <c r="C31" s="5" t="s">
        <v>62</v>
      </c>
      <c r="D31" s="4" t="s">
        <v>6</v>
      </c>
      <c r="E31" s="4" t="s">
        <v>61</v>
      </c>
      <c r="F31" s="4" t="s">
        <v>90</v>
      </c>
      <c r="G31" s="4" t="s">
        <v>90</v>
      </c>
      <c r="H31" s="6">
        <v>5525.7030000000004</v>
      </c>
      <c r="I31" s="6">
        <v>200</v>
      </c>
      <c r="J31" s="6">
        <v>100</v>
      </c>
      <c r="K31" s="6">
        <v>0</v>
      </c>
      <c r="L31" s="6">
        <v>100</v>
      </c>
      <c r="M31" s="6">
        <f t="shared" ref="M31:M32" si="0">H31-I31-J31</f>
        <v>5225.7030000000004</v>
      </c>
      <c r="N31" s="6">
        <v>5525.7</v>
      </c>
    </row>
    <row r="32" spans="1:34" ht="52.8" customHeight="1" x14ac:dyDescent="0.3">
      <c r="A32" s="4">
        <v>31</v>
      </c>
      <c r="B32" s="4">
        <v>251605</v>
      </c>
      <c r="C32" s="5" t="s">
        <v>63</v>
      </c>
      <c r="D32" s="4" t="s">
        <v>6</v>
      </c>
      <c r="E32" s="4" t="s">
        <v>61</v>
      </c>
      <c r="F32" s="4" t="s">
        <v>90</v>
      </c>
      <c r="G32" s="4" t="s">
        <v>90</v>
      </c>
      <c r="H32" s="6">
        <v>3850</v>
      </c>
      <c r="I32" s="6">
        <v>300</v>
      </c>
      <c r="J32" s="6">
        <v>100</v>
      </c>
      <c r="K32" s="6">
        <v>0</v>
      </c>
      <c r="L32" s="6">
        <v>100</v>
      </c>
      <c r="M32" s="6">
        <f t="shared" si="0"/>
        <v>3450</v>
      </c>
      <c r="N32" s="6">
        <v>3850</v>
      </c>
    </row>
    <row r="33" spans="1:38" s="28" customFormat="1" ht="42.6" customHeight="1" x14ac:dyDescent="0.3">
      <c r="A33" s="25"/>
      <c r="B33" s="25"/>
      <c r="C33" s="26" t="s">
        <v>71</v>
      </c>
      <c r="D33" s="25"/>
      <c r="E33" s="25"/>
      <c r="F33" s="25"/>
      <c r="G33" s="25"/>
      <c r="H33" s="27">
        <f t="shared" ref="H33:N33" si="1">SUM(H2:H32)</f>
        <v>123594.28599999999</v>
      </c>
      <c r="I33" s="27">
        <f t="shared" si="1"/>
        <v>18429.321</v>
      </c>
      <c r="J33" s="27">
        <f t="shared" si="1"/>
        <v>35756.300999999999</v>
      </c>
      <c r="K33" s="27">
        <f t="shared" si="1"/>
        <v>242.02</v>
      </c>
      <c r="L33" s="27">
        <f t="shared" si="1"/>
        <v>35998.320999999996</v>
      </c>
      <c r="M33" s="27">
        <f t="shared" si="1"/>
        <v>69234.741999999998</v>
      </c>
      <c r="N33" s="27">
        <f t="shared" si="1"/>
        <v>152313.91700000002</v>
      </c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</row>
    <row r="34" spans="1:38" ht="42.6" customHeight="1" x14ac:dyDescent="0.3">
      <c r="A34" s="19"/>
      <c r="B34" s="19"/>
      <c r="C34" s="20"/>
      <c r="D34" s="19"/>
      <c r="E34" s="19"/>
      <c r="F34" s="19"/>
      <c r="G34" s="19"/>
      <c r="H34" s="21"/>
      <c r="I34" s="21"/>
      <c r="J34" s="21"/>
      <c r="K34" s="21"/>
      <c r="L34" s="21"/>
      <c r="M34" s="21"/>
      <c r="N34" s="22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</row>
    <row r="35" spans="1:38" ht="42.6" customHeight="1" x14ac:dyDescent="0.3">
      <c r="A35" s="42" t="s">
        <v>75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</row>
    <row r="36" spans="1:38" s="24" customFormat="1" ht="42.6" customHeight="1" x14ac:dyDescent="0.3">
      <c r="A36" s="23" t="s">
        <v>64</v>
      </c>
      <c r="B36" s="23" t="s">
        <v>76</v>
      </c>
      <c r="C36" s="23" t="s">
        <v>66</v>
      </c>
      <c r="D36" s="23" t="s">
        <v>67</v>
      </c>
      <c r="E36" s="23" t="s">
        <v>68</v>
      </c>
      <c r="F36" s="23" t="s">
        <v>99</v>
      </c>
      <c r="G36" s="23" t="s">
        <v>95</v>
      </c>
      <c r="H36" s="23" t="s">
        <v>77</v>
      </c>
      <c r="I36" s="23" t="s">
        <v>1</v>
      </c>
      <c r="J36" s="23" t="s">
        <v>69</v>
      </c>
      <c r="K36" s="23" t="s">
        <v>70</v>
      </c>
      <c r="L36" s="23" t="s">
        <v>2</v>
      </c>
      <c r="M36" s="23" t="s">
        <v>3</v>
      </c>
      <c r="N36" s="23" t="s">
        <v>81</v>
      </c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</row>
    <row r="37" spans="1:38" ht="42.6" customHeight="1" x14ac:dyDescent="0.3">
      <c r="A37" s="4">
        <v>1</v>
      </c>
      <c r="B37" s="4" t="s">
        <v>75</v>
      </c>
      <c r="C37" s="15" t="s">
        <v>72</v>
      </c>
      <c r="D37" s="4" t="s">
        <v>4</v>
      </c>
      <c r="E37" s="4" t="s">
        <v>5</v>
      </c>
      <c r="F37" s="4" t="s">
        <v>85</v>
      </c>
      <c r="G37" s="4" t="s">
        <v>96</v>
      </c>
      <c r="H37" s="16">
        <v>372.51</v>
      </c>
      <c r="I37" s="6">
        <v>0</v>
      </c>
      <c r="J37" s="6">
        <v>0</v>
      </c>
      <c r="K37" s="6">
        <v>0</v>
      </c>
      <c r="L37" s="7">
        <v>0</v>
      </c>
      <c r="M37" s="6">
        <v>0</v>
      </c>
      <c r="N37" s="6">
        <v>372.52</v>
      </c>
    </row>
    <row r="38" spans="1:38" ht="42.6" customHeight="1" x14ac:dyDescent="0.3">
      <c r="A38" s="4">
        <v>2</v>
      </c>
      <c r="B38" s="4" t="s">
        <v>75</v>
      </c>
      <c r="C38" s="15" t="s">
        <v>73</v>
      </c>
      <c r="D38" s="4" t="s">
        <v>4</v>
      </c>
      <c r="E38" s="4" t="s">
        <v>5</v>
      </c>
      <c r="F38" s="4" t="s">
        <v>85</v>
      </c>
      <c r="G38" s="4" t="s">
        <v>96</v>
      </c>
      <c r="H38" s="17">
        <v>3981.41</v>
      </c>
      <c r="I38" s="6">
        <v>0</v>
      </c>
      <c r="J38" s="6">
        <v>0</v>
      </c>
      <c r="K38" s="6">
        <v>0</v>
      </c>
      <c r="L38" s="7">
        <v>0</v>
      </c>
      <c r="M38" s="6">
        <v>0</v>
      </c>
      <c r="N38" s="6">
        <v>3270.95</v>
      </c>
    </row>
    <row r="39" spans="1:38" ht="42.6" customHeight="1" x14ac:dyDescent="0.3">
      <c r="A39" s="4">
        <v>3</v>
      </c>
      <c r="B39" s="4" t="s">
        <v>75</v>
      </c>
      <c r="C39" s="15" t="s">
        <v>74</v>
      </c>
      <c r="D39" s="4" t="s">
        <v>4</v>
      </c>
      <c r="E39" s="4" t="s">
        <v>5</v>
      </c>
      <c r="F39" s="4" t="s">
        <v>85</v>
      </c>
      <c r="G39" s="4" t="s">
        <v>96</v>
      </c>
      <c r="H39" s="17">
        <v>3088.08</v>
      </c>
      <c r="I39" s="6">
        <v>0</v>
      </c>
      <c r="J39" s="6">
        <v>0</v>
      </c>
      <c r="K39" s="6">
        <v>0</v>
      </c>
      <c r="L39" s="7">
        <v>0</v>
      </c>
      <c r="M39" s="6">
        <v>0</v>
      </c>
      <c r="N39" s="6">
        <v>2297.12</v>
      </c>
    </row>
    <row r="40" spans="1:38" ht="42.6" customHeight="1" x14ac:dyDescent="0.3">
      <c r="A40" s="4">
        <v>4</v>
      </c>
      <c r="B40" s="4" t="s">
        <v>75</v>
      </c>
      <c r="C40" s="15" t="s">
        <v>78</v>
      </c>
      <c r="D40" s="4" t="s">
        <v>4</v>
      </c>
      <c r="E40" s="4" t="s">
        <v>5</v>
      </c>
      <c r="F40" s="4" t="s">
        <v>85</v>
      </c>
      <c r="G40" s="4" t="s">
        <v>96</v>
      </c>
      <c r="H40" s="17">
        <v>1409.18</v>
      </c>
      <c r="I40" s="6">
        <v>0</v>
      </c>
      <c r="J40" s="6">
        <v>0</v>
      </c>
      <c r="K40" s="6">
        <v>0</v>
      </c>
      <c r="L40" s="7">
        <v>0</v>
      </c>
      <c r="M40" s="6">
        <v>0</v>
      </c>
      <c r="N40" s="6">
        <v>1409.18</v>
      </c>
    </row>
    <row r="41" spans="1:38" ht="42.6" customHeight="1" x14ac:dyDescent="0.3">
      <c r="A41" s="4">
        <v>5</v>
      </c>
      <c r="B41" s="4" t="s">
        <v>75</v>
      </c>
      <c r="C41" s="15" t="s">
        <v>79</v>
      </c>
      <c r="D41" s="4" t="s">
        <v>4</v>
      </c>
      <c r="E41" s="4" t="s">
        <v>5</v>
      </c>
      <c r="F41" s="4" t="s">
        <v>85</v>
      </c>
      <c r="G41" s="4" t="s">
        <v>96</v>
      </c>
      <c r="H41" s="18">
        <v>11096</v>
      </c>
      <c r="I41" s="6">
        <v>0</v>
      </c>
      <c r="J41" s="6">
        <v>0</v>
      </c>
      <c r="K41" s="6">
        <v>0</v>
      </c>
      <c r="L41" s="7">
        <v>0</v>
      </c>
      <c r="M41" s="6">
        <v>0</v>
      </c>
      <c r="N41" s="6">
        <v>11096</v>
      </c>
    </row>
    <row r="42" spans="1:38" ht="42.6" customHeight="1" x14ac:dyDescent="0.3">
      <c r="A42" s="4">
        <v>6</v>
      </c>
      <c r="B42" s="4" t="s">
        <v>75</v>
      </c>
      <c r="C42" s="15" t="s">
        <v>80</v>
      </c>
      <c r="D42" s="4" t="s">
        <v>4</v>
      </c>
      <c r="E42" s="4" t="s">
        <v>5</v>
      </c>
      <c r="F42" s="4" t="s">
        <v>85</v>
      </c>
      <c r="G42" s="4" t="s">
        <v>96</v>
      </c>
      <c r="H42" s="17">
        <v>2709.69</v>
      </c>
      <c r="I42" s="6">
        <v>0</v>
      </c>
      <c r="J42" s="6">
        <v>0</v>
      </c>
      <c r="K42" s="6">
        <v>0</v>
      </c>
      <c r="L42" s="7">
        <v>0</v>
      </c>
      <c r="M42" s="6">
        <v>0</v>
      </c>
      <c r="N42" s="6">
        <v>2855.94</v>
      </c>
    </row>
    <row r="43" spans="1:38" ht="42.6" customHeight="1" x14ac:dyDescent="0.3">
      <c r="A43" s="25"/>
      <c r="B43" s="25"/>
      <c r="C43" s="26" t="s">
        <v>71</v>
      </c>
      <c r="D43" s="25"/>
      <c r="E43" s="25"/>
      <c r="F43" s="25"/>
      <c r="G43" s="25"/>
      <c r="H43" s="27">
        <f t="shared" ref="H43:N43" si="2">SUM(H37:H42)</f>
        <v>22656.87</v>
      </c>
      <c r="I43" s="27">
        <f t="shared" si="2"/>
        <v>0</v>
      </c>
      <c r="J43" s="27">
        <f t="shared" si="2"/>
        <v>0</v>
      </c>
      <c r="K43" s="27">
        <f t="shared" si="2"/>
        <v>0</v>
      </c>
      <c r="L43" s="27">
        <f t="shared" si="2"/>
        <v>0</v>
      </c>
      <c r="M43" s="27">
        <f t="shared" si="2"/>
        <v>0</v>
      </c>
      <c r="N43" s="27">
        <f t="shared" si="2"/>
        <v>21301.71</v>
      </c>
    </row>
    <row r="44" spans="1:38" ht="42.6" customHeight="1" x14ac:dyDescent="0.3">
      <c r="A44" s="19"/>
      <c r="B44" s="19"/>
      <c r="C44" s="20"/>
      <c r="D44" s="19"/>
      <c r="E44" s="19"/>
      <c r="F44" s="19"/>
      <c r="G44" s="19"/>
      <c r="H44" s="21"/>
      <c r="I44" s="21"/>
      <c r="J44" s="21"/>
      <c r="K44" s="21"/>
      <c r="L44" s="21"/>
      <c r="M44" s="21"/>
      <c r="N44" s="22"/>
    </row>
    <row r="45" spans="1:38" ht="42.6" customHeight="1" x14ac:dyDescent="0.3">
      <c r="A45" s="42" t="s">
        <v>94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</row>
    <row r="46" spans="1:38" s="24" customFormat="1" ht="42.6" customHeight="1" x14ac:dyDescent="0.3">
      <c r="A46" s="23" t="s">
        <v>64</v>
      </c>
      <c r="B46" s="23" t="s">
        <v>76</v>
      </c>
      <c r="C46" s="23" t="s">
        <v>66</v>
      </c>
      <c r="D46" s="23" t="s">
        <v>67</v>
      </c>
      <c r="E46" s="23" t="s">
        <v>68</v>
      </c>
      <c r="F46" s="23" t="s">
        <v>99</v>
      </c>
      <c r="G46" s="23" t="s">
        <v>95</v>
      </c>
      <c r="H46" s="23" t="s">
        <v>77</v>
      </c>
      <c r="I46" s="23" t="s">
        <v>1</v>
      </c>
      <c r="J46" s="23" t="s">
        <v>69</v>
      </c>
      <c r="K46" s="23" t="s">
        <v>70</v>
      </c>
      <c r="L46" s="23" t="s">
        <v>2</v>
      </c>
      <c r="M46" s="23" t="s">
        <v>3</v>
      </c>
      <c r="N46" s="23" t="s">
        <v>81</v>
      </c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</row>
    <row r="47" spans="1:38" s="38" customFormat="1" ht="42.6" customHeight="1" x14ac:dyDescent="0.3">
      <c r="A47" s="33">
        <v>1</v>
      </c>
      <c r="B47" s="33" t="s">
        <v>91</v>
      </c>
      <c r="C47" s="34" t="s">
        <v>92</v>
      </c>
      <c r="D47" s="33" t="s">
        <v>4</v>
      </c>
      <c r="E47" s="33" t="s">
        <v>93</v>
      </c>
      <c r="F47" s="33" t="s">
        <v>93</v>
      </c>
      <c r="G47" s="33" t="s">
        <v>93</v>
      </c>
      <c r="H47" s="35">
        <v>90</v>
      </c>
      <c r="I47" s="36">
        <v>0</v>
      </c>
      <c r="J47" s="36">
        <v>0</v>
      </c>
      <c r="K47" s="36">
        <v>0</v>
      </c>
      <c r="L47" s="37">
        <v>0</v>
      </c>
      <c r="M47" s="36">
        <v>0</v>
      </c>
      <c r="N47" s="37">
        <v>90</v>
      </c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</row>
    <row r="48" spans="1:38" ht="42.6" customHeight="1" x14ac:dyDescent="0.3">
      <c r="A48" s="19"/>
      <c r="B48" s="19"/>
      <c r="C48" s="20"/>
      <c r="D48" s="19"/>
      <c r="E48" s="19"/>
      <c r="F48" s="19"/>
      <c r="G48" s="19"/>
      <c r="H48" s="21"/>
      <c r="I48" s="21"/>
      <c r="J48" s="21"/>
      <c r="K48" s="21"/>
      <c r="L48" s="21"/>
      <c r="M48" s="21"/>
      <c r="N48" s="22"/>
    </row>
    <row r="49" spans="1:38" s="32" customFormat="1" ht="42.6" customHeight="1" x14ac:dyDescent="0.3">
      <c r="A49" s="29"/>
      <c r="B49" s="29"/>
      <c r="C49" s="30" t="s">
        <v>82</v>
      </c>
      <c r="D49" s="29"/>
      <c r="E49" s="29"/>
      <c r="F49" s="29"/>
      <c r="G49" s="29"/>
      <c r="H49" s="31">
        <f t="shared" ref="H49:M49" si="3">H33+H43</f>
        <v>146251.15599999999</v>
      </c>
      <c r="I49" s="31">
        <f t="shared" si="3"/>
        <v>18429.321</v>
      </c>
      <c r="J49" s="31">
        <f t="shared" si="3"/>
        <v>35756.300999999999</v>
      </c>
      <c r="K49" s="31">
        <f t="shared" si="3"/>
        <v>242.02</v>
      </c>
      <c r="L49" s="31">
        <f t="shared" si="3"/>
        <v>35998.320999999996</v>
      </c>
      <c r="M49" s="31">
        <f t="shared" si="3"/>
        <v>69234.741999999998</v>
      </c>
      <c r="N49" s="31">
        <f>N33+N43+N47</f>
        <v>173705.62700000001</v>
      </c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</row>
  </sheetData>
  <autoFilter ref="A1:N33" xr:uid="{B611063C-E845-42D0-A5FB-BF9A90AC87FD}"/>
  <mergeCells count="2">
    <mergeCell ref="A35:N35"/>
    <mergeCell ref="A45:N4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5F97-9648-49E2-BFE3-6992D4450ADB}">
  <dimension ref="A1:M34"/>
  <sheetViews>
    <sheetView topLeftCell="A25" zoomScale="70" zoomScaleNormal="70" workbookViewId="0">
      <selection activeCell="H33" sqref="H33"/>
    </sheetView>
  </sheetViews>
  <sheetFormatPr defaultRowHeight="42.6" customHeight="1" x14ac:dyDescent="0.3"/>
  <cols>
    <col min="1" max="1" width="7.88671875" style="10" customWidth="1"/>
    <col min="2" max="2" width="14.6640625" style="8" customWidth="1"/>
    <col min="3" max="3" width="91.33203125" style="9" customWidth="1"/>
    <col min="4" max="4" width="12.6640625" style="10" customWidth="1"/>
    <col min="5" max="6" width="26.21875" style="10" customWidth="1"/>
    <col min="7" max="7" width="15.6640625" style="3" customWidth="1"/>
    <col min="8" max="12" width="14.6640625" style="3" customWidth="1"/>
    <col min="13" max="13" width="16.33203125" style="3" customWidth="1"/>
    <col min="14" max="16384" width="8.88671875" style="3"/>
  </cols>
  <sheetData>
    <row r="1" spans="1:13" ht="42.6" customHeight="1" x14ac:dyDescent="0.3">
      <c r="A1" s="2" t="s">
        <v>64</v>
      </c>
      <c r="B1" s="2" t="s">
        <v>65</v>
      </c>
      <c r="C1" s="1" t="s">
        <v>66</v>
      </c>
      <c r="D1" s="2" t="s">
        <v>67</v>
      </c>
      <c r="E1" s="2" t="s">
        <v>68</v>
      </c>
      <c r="F1" s="2" t="s">
        <v>88</v>
      </c>
      <c r="G1" s="2" t="s">
        <v>0</v>
      </c>
      <c r="H1" s="2" t="s">
        <v>1</v>
      </c>
      <c r="I1" s="2" t="s">
        <v>69</v>
      </c>
      <c r="J1" s="2" t="s">
        <v>70</v>
      </c>
      <c r="K1" s="2" t="s">
        <v>2</v>
      </c>
      <c r="L1" s="2" t="s">
        <v>3</v>
      </c>
      <c r="M1" s="2" t="s">
        <v>81</v>
      </c>
    </row>
    <row r="2" spans="1:13" ht="42.6" customHeight="1" x14ac:dyDescent="0.3">
      <c r="A2" s="4">
        <v>1</v>
      </c>
      <c r="B2" s="4" t="s">
        <v>8</v>
      </c>
      <c r="C2" s="5" t="s">
        <v>9</v>
      </c>
      <c r="D2" s="4" t="s">
        <v>6</v>
      </c>
      <c r="E2" s="4" t="s">
        <v>5</v>
      </c>
      <c r="F2" s="4" t="s">
        <v>83</v>
      </c>
      <c r="G2" s="6">
        <v>9756.6939999999995</v>
      </c>
      <c r="H2" s="6">
        <v>5000</v>
      </c>
      <c r="I2" s="6">
        <v>4756.6940000000004</v>
      </c>
      <c r="J2" s="6">
        <v>0</v>
      </c>
      <c r="K2" s="7">
        <v>4756.6940000000004</v>
      </c>
      <c r="L2" s="6">
        <v>0</v>
      </c>
      <c r="M2" s="6">
        <v>9990</v>
      </c>
    </row>
    <row r="3" spans="1:13" ht="42.6" customHeight="1" x14ac:dyDescent="0.3">
      <c r="A3" s="4">
        <v>2</v>
      </c>
      <c r="B3" s="4" t="s">
        <v>10</v>
      </c>
      <c r="C3" s="5" t="s">
        <v>11</v>
      </c>
      <c r="D3" s="4" t="s">
        <v>6</v>
      </c>
      <c r="E3" s="4" t="s">
        <v>5</v>
      </c>
      <c r="F3" s="4" t="s">
        <v>85</v>
      </c>
      <c r="G3" s="6">
        <v>1140.2470000000001</v>
      </c>
      <c r="H3" s="6">
        <v>38.82</v>
      </c>
      <c r="I3" s="6">
        <v>300</v>
      </c>
      <c r="J3" s="6">
        <v>0</v>
      </c>
      <c r="K3" s="7">
        <v>300</v>
      </c>
      <c r="L3" s="6">
        <f>G3-H3-I3</f>
        <v>801.42700000000013</v>
      </c>
      <c r="M3" s="6">
        <v>1140.25</v>
      </c>
    </row>
    <row r="4" spans="1:13" ht="42.6" customHeight="1" x14ac:dyDescent="0.3">
      <c r="A4" s="4">
        <v>3</v>
      </c>
      <c r="B4" s="4" t="s">
        <v>12</v>
      </c>
      <c r="C4" s="5" t="s">
        <v>13</v>
      </c>
      <c r="D4" s="4" t="s">
        <v>6</v>
      </c>
      <c r="E4" s="4" t="s">
        <v>5</v>
      </c>
      <c r="F4" s="4" t="s">
        <v>83</v>
      </c>
      <c r="G4" s="6">
        <v>9673.24</v>
      </c>
      <c r="H4" s="6">
        <v>6000</v>
      </c>
      <c r="I4" s="6">
        <v>2000</v>
      </c>
      <c r="J4" s="6">
        <v>0</v>
      </c>
      <c r="K4" s="7">
        <v>2000</v>
      </c>
      <c r="L4" s="6">
        <v>1673.24</v>
      </c>
      <c r="M4" s="6">
        <v>9841</v>
      </c>
    </row>
    <row r="5" spans="1:13" ht="52.8" customHeight="1" x14ac:dyDescent="0.3">
      <c r="A5" s="4">
        <v>4</v>
      </c>
      <c r="B5" s="4" t="s">
        <v>14</v>
      </c>
      <c r="C5" s="5" t="s">
        <v>15</v>
      </c>
      <c r="D5" s="4" t="s">
        <v>6</v>
      </c>
      <c r="E5" s="4" t="s">
        <v>5</v>
      </c>
      <c r="F5" s="4" t="s">
        <v>83</v>
      </c>
      <c r="G5" s="6">
        <v>16.614000000000001</v>
      </c>
      <c r="H5" s="6">
        <v>0</v>
      </c>
      <c r="I5" s="6">
        <v>16.614000000000001</v>
      </c>
      <c r="J5" s="6">
        <v>0</v>
      </c>
      <c r="K5" s="7">
        <v>16.614000000000001</v>
      </c>
      <c r="L5" s="6">
        <v>0</v>
      </c>
      <c r="M5" s="6">
        <v>30</v>
      </c>
    </row>
    <row r="6" spans="1:13" ht="42.6" customHeight="1" x14ac:dyDescent="0.3">
      <c r="A6" s="4">
        <v>5</v>
      </c>
      <c r="B6" s="4" t="s">
        <v>16</v>
      </c>
      <c r="C6" s="5" t="s">
        <v>17</v>
      </c>
      <c r="D6" s="4" t="s">
        <v>6</v>
      </c>
      <c r="E6" s="4" t="s">
        <v>5</v>
      </c>
      <c r="F6" s="4" t="s">
        <v>83</v>
      </c>
      <c r="G6" s="6">
        <v>999.69100000000003</v>
      </c>
      <c r="H6" s="6">
        <v>581</v>
      </c>
      <c r="I6" s="6">
        <v>418.69099999999997</v>
      </c>
      <c r="J6" s="6">
        <v>0</v>
      </c>
      <c r="K6" s="7">
        <v>418.69099999999997</v>
      </c>
      <c r="L6" s="6">
        <v>0</v>
      </c>
      <c r="M6" s="6">
        <v>1000</v>
      </c>
    </row>
    <row r="7" spans="1:13" ht="42.6" customHeight="1" x14ac:dyDescent="0.3">
      <c r="A7" s="4">
        <v>6</v>
      </c>
      <c r="B7" s="4" t="s">
        <v>18</v>
      </c>
      <c r="C7" s="5" t="s">
        <v>19</v>
      </c>
      <c r="D7" s="4" t="s">
        <v>6</v>
      </c>
      <c r="E7" s="4" t="s">
        <v>5</v>
      </c>
      <c r="F7" s="4" t="s">
        <v>83</v>
      </c>
      <c r="G7" s="6">
        <v>569.226</v>
      </c>
      <c r="H7" s="6">
        <v>569</v>
      </c>
      <c r="I7" s="6">
        <v>0.22600000000000001</v>
      </c>
      <c r="J7" s="6">
        <v>0</v>
      </c>
      <c r="K7" s="7">
        <v>0.22600000000000001</v>
      </c>
      <c r="L7" s="6">
        <v>0</v>
      </c>
      <c r="M7" s="6">
        <v>500</v>
      </c>
    </row>
    <row r="8" spans="1:13" ht="42.6" customHeight="1" x14ac:dyDescent="0.3">
      <c r="A8" s="4">
        <v>7</v>
      </c>
      <c r="B8" s="4" t="s">
        <v>20</v>
      </c>
      <c r="C8" s="5" t="s">
        <v>21</v>
      </c>
      <c r="D8" s="4" t="s">
        <v>6</v>
      </c>
      <c r="E8" s="4" t="s">
        <v>5</v>
      </c>
      <c r="F8" s="4" t="s">
        <v>84</v>
      </c>
      <c r="G8" s="6">
        <v>175</v>
      </c>
      <c r="H8" s="6">
        <v>174.999</v>
      </c>
      <c r="I8" s="6">
        <v>1E-3</v>
      </c>
      <c r="J8" s="6">
        <v>0</v>
      </c>
      <c r="K8" s="7">
        <v>1E-3</v>
      </c>
      <c r="L8" s="6">
        <v>0</v>
      </c>
      <c r="M8" s="6">
        <v>175</v>
      </c>
    </row>
    <row r="9" spans="1:13" ht="42.6" customHeight="1" x14ac:dyDescent="0.3">
      <c r="A9" s="4">
        <v>8</v>
      </c>
      <c r="B9" s="4" t="s">
        <v>22</v>
      </c>
      <c r="C9" s="5" t="s">
        <v>23</v>
      </c>
      <c r="D9" s="4" t="s">
        <v>6</v>
      </c>
      <c r="E9" s="4" t="s">
        <v>5</v>
      </c>
      <c r="F9" s="4" t="s">
        <v>84</v>
      </c>
      <c r="G9" s="6">
        <v>300</v>
      </c>
      <c r="H9" s="6">
        <v>299.99900000000002</v>
      </c>
      <c r="I9" s="6">
        <v>1E-3</v>
      </c>
      <c r="J9" s="6">
        <v>0</v>
      </c>
      <c r="K9" s="7">
        <v>1E-3</v>
      </c>
      <c r="L9" s="6">
        <v>0</v>
      </c>
      <c r="M9" s="6">
        <v>300</v>
      </c>
    </row>
    <row r="10" spans="1:13" ht="42.6" customHeight="1" x14ac:dyDescent="0.3">
      <c r="A10" s="4">
        <v>9</v>
      </c>
      <c r="B10" s="4" t="s">
        <v>24</v>
      </c>
      <c r="C10" s="5" t="s">
        <v>25</v>
      </c>
      <c r="D10" s="4" t="s">
        <v>6</v>
      </c>
      <c r="E10" s="4" t="s">
        <v>5</v>
      </c>
      <c r="F10" s="4" t="s">
        <v>83</v>
      </c>
      <c r="G10" s="6">
        <v>30</v>
      </c>
      <c r="H10" s="6">
        <v>0</v>
      </c>
      <c r="I10" s="6">
        <v>30</v>
      </c>
      <c r="J10" s="6">
        <v>0</v>
      </c>
      <c r="K10" s="7">
        <v>30</v>
      </c>
      <c r="L10" s="6">
        <v>0</v>
      </c>
      <c r="M10" s="6">
        <v>57</v>
      </c>
    </row>
    <row r="11" spans="1:13" ht="42.6" customHeight="1" x14ac:dyDescent="0.3">
      <c r="A11" s="4">
        <v>10</v>
      </c>
      <c r="B11" s="4" t="s">
        <v>26</v>
      </c>
      <c r="C11" s="5" t="s">
        <v>27</v>
      </c>
      <c r="D11" s="4" t="s">
        <v>6</v>
      </c>
      <c r="E11" s="4" t="s">
        <v>5</v>
      </c>
      <c r="F11" s="4" t="s">
        <v>83</v>
      </c>
      <c r="G11" s="6">
        <v>3417.28</v>
      </c>
      <c r="H11" s="6">
        <v>0</v>
      </c>
      <c r="I11" s="6">
        <v>3417.28</v>
      </c>
      <c r="J11" s="6">
        <v>0</v>
      </c>
      <c r="K11" s="7">
        <v>3417.28</v>
      </c>
      <c r="L11" s="6">
        <v>0</v>
      </c>
      <c r="M11" s="6">
        <v>19905</v>
      </c>
    </row>
    <row r="12" spans="1:13" ht="42.6" customHeight="1" x14ac:dyDescent="0.3">
      <c r="A12" s="4">
        <v>11</v>
      </c>
      <c r="B12" s="4" t="s">
        <v>28</v>
      </c>
      <c r="C12" s="5" t="s">
        <v>29</v>
      </c>
      <c r="D12" s="4" t="s">
        <v>6</v>
      </c>
      <c r="E12" s="4" t="s">
        <v>5</v>
      </c>
      <c r="F12" s="4" t="s">
        <v>83</v>
      </c>
      <c r="G12" s="6">
        <v>4588.4799999999996</v>
      </c>
      <c r="H12" s="6">
        <v>4492</v>
      </c>
      <c r="I12" s="6">
        <v>96.48</v>
      </c>
      <c r="J12" s="6">
        <v>0</v>
      </c>
      <c r="K12" s="7">
        <v>96.48</v>
      </c>
      <c r="L12" s="6">
        <v>0</v>
      </c>
      <c r="M12" s="6">
        <v>0</v>
      </c>
    </row>
    <row r="13" spans="1:13" ht="42.6" customHeight="1" x14ac:dyDescent="0.3">
      <c r="A13" s="4">
        <v>12</v>
      </c>
      <c r="B13" s="4" t="s">
        <v>30</v>
      </c>
      <c r="C13" s="5" t="s">
        <v>31</v>
      </c>
      <c r="D13" s="4" t="s">
        <v>6</v>
      </c>
      <c r="E13" s="4" t="s">
        <v>5</v>
      </c>
      <c r="F13" s="4" t="s">
        <v>83</v>
      </c>
      <c r="G13" s="6">
        <v>6960.37</v>
      </c>
      <c r="H13" s="6">
        <v>0</v>
      </c>
      <c r="I13" s="6">
        <v>6960.37</v>
      </c>
      <c r="J13" s="6">
        <v>0</v>
      </c>
      <c r="K13" s="7">
        <v>6960.37</v>
      </c>
      <c r="L13" s="6">
        <v>0</v>
      </c>
      <c r="M13" s="6">
        <v>18000</v>
      </c>
    </row>
    <row r="14" spans="1:13" ht="42.6" customHeight="1" x14ac:dyDescent="0.3">
      <c r="A14" s="4">
        <v>13</v>
      </c>
      <c r="B14" s="4" t="s">
        <v>32</v>
      </c>
      <c r="C14" s="5" t="s">
        <v>33</v>
      </c>
      <c r="D14" s="4" t="s">
        <v>4</v>
      </c>
      <c r="E14" s="4" t="s">
        <v>5</v>
      </c>
      <c r="F14" s="4" t="s">
        <v>83</v>
      </c>
      <c r="G14" s="6">
        <v>5240</v>
      </c>
      <c r="H14" s="6">
        <v>0</v>
      </c>
      <c r="I14" s="6">
        <v>1000</v>
      </c>
      <c r="J14" s="6">
        <v>0</v>
      </c>
      <c r="K14" s="7">
        <v>1000</v>
      </c>
      <c r="L14" s="6">
        <v>4240</v>
      </c>
      <c r="M14" s="6">
        <v>5246</v>
      </c>
    </row>
    <row r="15" spans="1:13" ht="42.6" customHeight="1" x14ac:dyDescent="0.3">
      <c r="A15" s="4">
        <v>14</v>
      </c>
      <c r="B15" s="4" t="s">
        <v>34</v>
      </c>
      <c r="C15" s="5" t="s">
        <v>35</v>
      </c>
      <c r="D15" s="4" t="s">
        <v>4</v>
      </c>
      <c r="E15" s="4" t="s">
        <v>5</v>
      </c>
      <c r="F15" s="4" t="s">
        <v>83</v>
      </c>
      <c r="G15" s="6">
        <v>3500</v>
      </c>
      <c r="H15" s="6">
        <v>0</v>
      </c>
      <c r="I15" s="6">
        <v>100</v>
      </c>
      <c r="J15" s="6">
        <v>0</v>
      </c>
      <c r="K15" s="7">
        <v>100</v>
      </c>
      <c r="L15" s="6">
        <v>3400</v>
      </c>
      <c r="M15" s="6">
        <v>3500</v>
      </c>
    </row>
    <row r="16" spans="1:13" ht="42.6" customHeight="1" x14ac:dyDescent="0.3">
      <c r="A16" s="4">
        <v>15</v>
      </c>
      <c r="B16" s="4" t="s">
        <v>36</v>
      </c>
      <c r="C16" s="5" t="s">
        <v>37</v>
      </c>
      <c r="D16" s="4" t="s">
        <v>4</v>
      </c>
      <c r="E16" s="4" t="s">
        <v>5</v>
      </c>
      <c r="F16" s="4" t="s">
        <v>83</v>
      </c>
      <c r="G16" s="6">
        <v>9462</v>
      </c>
      <c r="H16" s="6">
        <v>0</v>
      </c>
      <c r="I16" s="6">
        <v>1500</v>
      </c>
      <c r="J16" s="6">
        <v>0</v>
      </c>
      <c r="K16" s="7">
        <v>1500</v>
      </c>
      <c r="L16" s="6">
        <v>7962</v>
      </c>
      <c r="M16" s="6">
        <v>9462</v>
      </c>
    </row>
    <row r="17" spans="1:13" ht="42.6" customHeight="1" x14ac:dyDescent="0.3">
      <c r="A17" s="4">
        <v>16</v>
      </c>
      <c r="B17" s="4" t="s">
        <v>38</v>
      </c>
      <c r="C17" s="5" t="s">
        <v>39</v>
      </c>
      <c r="D17" s="4" t="s">
        <v>4</v>
      </c>
      <c r="E17" s="4" t="s">
        <v>5</v>
      </c>
      <c r="F17" s="4" t="s">
        <v>83</v>
      </c>
      <c r="G17" s="6">
        <v>14000</v>
      </c>
      <c r="H17" s="6">
        <v>0</v>
      </c>
      <c r="I17" s="6">
        <v>3799.944</v>
      </c>
      <c r="J17" s="6">
        <v>0</v>
      </c>
      <c r="K17" s="7">
        <v>3799.944</v>
      </c>
      <c r="L17" s="6">
        <v>10200.056</v>
      </c>
      <c r="M17" s="6">
        <v>14000</v>
      </c>
    </row>
    <row r="18" spans="1:13" ht="42.6" customHeight="1" x14ac:dyDescent="0.3">
      <c r="A18" s="4">
        <v>17</v>
      </c>
      <c r="B18" s="4" t="s">
        <v>40</v>
      </c>
      <c r="C18" s="5" t="s">
        <v>41</v>
      </c>
      <c r="D18" s="4" t="s">
        <v>4</v>
      </c>
      <c r="E18" s="4" t="s">
        <v>5</v>
      </c>
      <c r="F18" s="4" t="s">
        <v>83</v>
      </c>
      <c r="G18" s="6">
        <v>2314</v>
      </c>
      <c r="H18" s="6">
        <v>0</v>
      </c>
      <c r="I18" s="6">
        <v>1000</v>
      </c>
      <c r="J18" s="6">
        <v>0</v>
      </c>
      <c r="K18" s="7">
        <v>1000</v>
      </c>
      <c r="L18" s="6">
        <v>1314</v>
      </c>
      <c r="M18" s="6">
        <v>2314</v>
      </c>
    </row>
    <row r="19" spans="1:13" ht="42.6" customHeight="1" x14ac:dyDescent="0.3">
      <c r="A19" s="4">
        <v>18</v>
      </c>
      <c r="B19" s="4" t="s">
        <v>42</v>
      </c>
      <c r="C19" s="5" t="s">
        <v>43</v>
      </c>
      <c r="D19" s="4" t="s">
        <v>4</v>
      </c>
      <c r="E19" s="4" t="s">
        <v>5</v>
      </c>
      <c r="F19" s="4" t="s">
        <v>83</v>
      </c>
      <c r="G19" s="6">
        <v>750</v>
      </c>
      <c r="H19" s="6">
        <v>0</v>
      </c>
      <c r="I19" s="6">
        <v>750</v>
      </c>
      <c r="J19" s="6">
        <v>0</v>
      </c>
      <c r="K19" s="7">
        <v>750</v>
      </c>
      <c r="L19" s="6">
        <v>0</v>
      </c>
      <c r="M19" s="6">
        <v>750</v>
      </c>
    </row>
    <row r="20" spans="1:13" ht="42.6" customHeight="1" x14ac:dyDescent="0.3">
      <c r="A20" s="4">
        <v>19</v>
      </c>
      <c r="B20" s="4" t="s">
        <v>44</v>
      </c>
      <c r="C20" s="5" t="s">
        <v>45</v>
      </c>
      <c r="D20" s="4" t="s">
        <v>4</v>
      </c>
      <c r="E20" s="4" t="s">
        <v>5</v>
      </c>
      <c r="F20" s="4" t="s">
        <v>84</v>
      </c>
      <c r="G20" s="6">
        <v>1000</v>
      </c>
      <c r="H20" s="6">
        <v>0</v>
      </c>
      <c r="I20" s="6">
        <v>100</v>
      </c>
      <c r="J20" s="6">
        <v>50</v>
      </c>
      <c r="K20" s="7">
        <v>150</v>
      </c>
      <c r="L20" s="6">
        <v>850</v>
      </c>
      <c r="M20" s="6">
        <v>1000</v>
      </c>
    </row>
    <row r="21" spans="1:13" ht="42.6" customHeight="1" x14ac:dyDescent="0.3">
      <c r="A21" s="4">
        <v>20</v>
      </c>
      <c r="B21" s="4" t="s">
        <v>46</v>
      </c>
      <c r="C21" s="5" t="s">
        <v>47</v>
      </c>
      <c r="D21" s="4" t="s">
        <v>4</v>
      </c>
      <c r="E21" s="4" t="s">
        <v>5</v>
      </c>
      <c r="F21" s="4" t="s">
        <v>84</v>
      </c>
      <c r="G21" s="6">
        <v>2500</v>
      </c>
      <c r="H21" s="6">
        <v>0</v>
      </c>
      <c r="I21" s="6">
        <v>1000</v>
      </c>
      <c r="J21" s="6">
        <v>0</v>
      </c>
      <c r="K21" s="7">
        <v>1000</v>
      </c>
      <c r="L21" s="6">
        <v>1500</v>
      </c>
      <c r="M21" s="6">
        <v>2500</v>
      </c>
    </row>
    <row r="22" spans="1:13" ht="42.6" customHeight="1" x14ac:dyDescent="0.3">
      <c r="A22" s="4">
        <v>21</v>
      </c>
      <c r="B22" s="4" t="s">
        <v>48</v>
      </c>
      <c r="C22" s="5" t="s">
        <v>49</v>
      </c>
      <c r="D22" s="4" t="s">
        <v>4</v>
      </c>
      <c r="E22" s="4" t="s">
        <v>5</v>
      </c>
      <c r="F22" s="4" t="s">
        <v>83</v>
      </c>
      <c r="G22" s="6">
        <v>5600</v>
      </c>
      <c r="H22" s="6">
        <v>0</v>
      </c>
      <c r="I22" s="6">
        <v>3000</v>
      </c>
      <c r="J22" s="6">
        <v>0</v>
      </c>
      <c r="K22" s="7">
        <v>3000</v>
      </c>
      <c r="L22" s="6">
        <v>2600</v>
      </c>
      <c r="M22" s="6">
        <v>0</v>
      </c>
    </row>
    <row r="23" spans="1:13" ht="42.6" customHeight="1" x14ac:dyDescent="0.3">
      <c r="A23" s="4">
        <v>22</v>
      </c>
      <c r="B23" s="4" t="s">
        <v>50</v>
      </c>
      <c r="C23" s="5" t="s">
        <v>51</v>
      </c>
      <c r="D23" s="4" t="s">
        <v>4</v>
      </c>
      <c r="E23" s="4" t="s">
        <v>5</v>
      </c>
      <c r="F23" s="4" t="s">
        <v>83</v>
      </c>
      <c r="G23" s="6">
        <v>5200</v>
      </c>
      <c r="H23" s="6">
        <v>0</v>
      </c>
      <c r="I23" s="6">
        <v>3000</v>
      </c>
      <c r="J23" s="6">
        <v>0</v>
      </c>
      <c r="K23" s="7">
        <v>3000</v>
      </c>
      <c r="L23" s="6">
        <v>2200</v>
      </c>
      <c r="M23" s="6">
        <v>0</v>
      </c>
    </row>
    <row r="24" spans="1:13" ht="42.6" customHeight="1" x14ac:dyDescent="0.3">
      <c r="A24" s="4">
        <v>23</v>
      </c>
      <c r="B24" s="4">
        <v>261326</v>
      </c>
      <c r="C24" s="5" t="s">
        <v>52</v>
      </c>
      <c r="D24" s="4" t="s">
        <v>4</v>
      </c>
      <c r="E24" s="4" t="s">
        <v>5</v>
      </c>
      <c r="F24" s="4" t="s">
        <v>85</v>
      </c>
      <c r="G24" s="6">
        <v>3437.78</v>
      </c>
      <c r="H24" s="6">
        <v>0</v>
      </c>
      <c r="I24" s="6">
        <v>0</v>
      </c>
      <c r="J24" s="6">
        <v>0</v>
      </c>
      <c r="K24" s="7">
        <v>0</v>
      </c>
      <c r="L24" s="6">
        <v>3437.78</v>
      </c>
      <c r="M24" s="6">
        <v>3300.78</v>
      </c>
    </row>
    <row r="25" spans="1:13" ht="42.6" customHeight="1" x14ac:dyDescent="0.3">
      <c r="A25" s="4">
        <v>24</v>
      </c>
      <c r="B25" s="4">
        <v>210137</v>
      </c>
      <c r="C25" s="5" t="s">
        <v>7</v>
      </c>
      <c r="D25" s="4" t="s">
        <v>6</v>
      </c>
      <c r="E25" s="4" t="s">
        <v>5</v>
      </c>
      <c r="F25" s="4" t="s">
        <v>85</v>
      </c>
      <c r="G25" s="6">
        <v>46.43</v>
      </c>
      <c r="H25" s="6">
        <v>5.4</v>
      </c>
      <c r="I25" s="6">
        <v>10</v>
      </c>
      <c r="J25" s="6">
        <v>0</v>
      </c>
      <c r="K25" s="7">
        <v>10</v>
      </c>
      <c r="L25" s="6">
        <v>31.03</v>
      </c>
      <c r="M25" s="6">
        <v>17520</v>
      </c>
    </row>
    <row r="26" spans="1:13" ht="42.6" customHeight="1" x14ac:dyDescent="0.3">
      <c r="A26" s="4">
        <v>23</v>
      </c>
      <c r="B26" s="4">
        <v>251627</v>
      </c>
      <c r="C26" s="5" t="s">
        <v>53</v>
      </c>
      <c r="D26" s="4" t="s">
        <v>6</v>
      </c>
      <c r="E26" s="4" t="s">
        <v>54</v>
      </c>
      <c r="F26" s="4" t="s">
        <v>86</v>
      </c>
      <c r="G26" s="6">
        <v>4245.3670000000002</v>
      </c>
      <c r="H26" s="6">
        <v>300</v>
      </c>
      <c r="I26" s="6">
        <v>2000</v>
      </c>
      <c r="J26" s="6">
        <v>0</v>
      </c>
      <c r="K26" s="7">
        <v>2000</v>
      </c>
      <c r="L26" s="6">
        <v>1945.367</v>
      </c>
      <c r="M26" s="6">
        <v>4245.3670000000002</v>
      </c>
    </row>
    <row r="27" spans="1:13" ht="42.6" customHeight="1" x14ac:dyDescent="0.3">
      <c r="A27" s="4">
        <v>24</v>
      </c>
      <c r="B27" s="4">
        <v>251624</v>
      </c>
      <c r="C27" s="5" t="s">
        <v>55</v>
      </c>
      <c r="D27" s="4" t="s">
        <v>6</v>
      </c>
      <c r="E27" s="4" t="s">
        <v>56</v>
      </c>
      <c r="F27" s="4" t="s">
        <v>87</v>
      </c>
      <c r="G27" s="6">
        <v>559.34199999999998</v>
      </c>
      <c r="H27" s="6">
        <v>68.099999999999994</v>
      </c>
      <c r="I27" s="6">
        <v>0</v>
      </c>
      <c r="J27" s="6">
        <v>192.02</v>
      </c>
      <c r="K27" s="7">
        <v>192.02</v>
      </c>
      <c r="L27" s="6">
        <v>367.32</v>
      </c>
      <c r="M27" s="6">
        <v>525</v>
      </c>
    </row>
    <row r="28" spans="1:13" ht="42.6" customHeight="1" x14ac:dyDescent="0.3">
      <c r="A28" s="4">
        <v>25</v>
      </c>
      <c r="B28" s="4">
        <v>260387</v>
      </c>
      <c r="C28" s="5" t="s">
        <v>57</v>
      </c>
      <c r="D28" s="4" t="s">
        <v>4</v>
      </c>
      <c r="E28" s="4" t="s">
        <v>58</v>
      </c>
      <c r="F28" s="4" t="s">
        <v>89</v>
      </c>
      <c r="G28" s="6">
        <v>7000</v>
      </c>
      <c r="H28" s="6">
        <v>0</v>
      </c>
      <c r="I28" s="6">
        <v>100</v>
      </c>
      <c r="J28" s="6">
        <v>0</v>
      </c>
      <c r="K28" s="7">
        <v>100</v>
      </c>
      <c r="L28" s="6">
        <v>6900</v>
      </c>
      <c r="M28" s="6">
        <v>7000</v>
      </c>
    </row>
    <row r="29" spans="1:13" ht="42.6" customHeight="1" x14ac:dyDescent="0.3">
      <c r="A29" s="4">
        <v>26</v>
      </c>
      <c r="B29" s="4">
        <v>260835</v>
      </c>
      <c r="C29" s="5" t="s">
        <v>59</v>
      </c>
      <c r="D29" s="4" t="s">
        <v>4</v>
      </c>
      <c r="E29" s="4" t="s">
        <v>58</v>
      </c>
      <c r="F29" s="4" t="s">
        <v>89</v>
      </c>
      <c r="G29" s="6">
        <v>5100</v>
      </c>
      <c r="H29" s="6">
        <v>0</v>
      </c>
      <c r="I29" s="6">
        <v>100</v>
      </c>
      <c r="J29" s="6">
        <v>0</v>
      </c>
      <c r="K29" s="7">
        <v>100</v>
      </c>
      <c r="L29" s="6">
        <v>5000</v>
      </c>
      <c r="M29" s="6">
        <v>4000</v>
      </c>
    </row>
    <row r="30" spans="1:13" ht="42.6" customHeight="1" x14ac:dyDescent="0.3">
      <c r="A30" s="4">
        <v>27</v>
      </c>
      <c r="B30" s="4">
        <v>251603</v>
      </c>
      <c r="C30" s="5" t="s">
        <v>60</v>
      </c>
      <c r="D30" s="4" t="s">
        <v>6</v>
      </c>
      <c r="E30" s="4" t="s">
        <v>61</v>
      </c>
      <c r="F30" s="4" t="s">
        <v>90</v>
      </c>
      <c r="G30" s="6">
        <v>6636.8220000000001</v>
      </c>
      <c r="H30" s="6">
        <v>400</v>
      </c>
      <c r="I30" s="6">
        <v>100</v>
      </c>
      <c r="J30" s="6">
        <v>0</v>
      </c>
      <c r="K30" s="7">
        <v>100</v>
      </c>
      <c r="L30" s="6">
        <v>6536.82</v>
      </c>
      <c r="M30" s="6">
        <v>6636.82</v>
      </c>
    </row>
    <row r="31" spans="1:13" ht="42.6" customHeight="1" x14ac:dyDescent="0.3">
      <c r="A31" s="4">
        <v>28</v>
      </c>
      <c r="B31" s="4">
        <v>251604</v>
      </c>
      <c r="C31" s="5" t="s">
        <v>62</v>
      </c>
      <c r="D31" s="4" t="s">
        <v>6</v>
      </c>
      <c r="E31" s="4" t="s">
        <v>61</v>
      </c>
      <c r="F31" s="4" t="s">
        <v>90</v>
      </c>
      <c r="G31" s="6">
        <v>5525.7030000000004</v>
      </c>
      <c r="H31" s="6">
        <v>200</v>
      </c>
      <c r="I31" s="6">
        <v>100</v>
      </c>
      <c r="J31" s="6">
        <v>0</v>
      </c>
      <c r="K31" s="7">
        <v>100</v>
      </c>
      <c r="L31" s="6">
        <v>5425.7030000000004</v>
      </c>
      <c r="M31" s="6">
        <v>5525.7</v>
      </c>
    </row>
    <row r="32" spans="1:13" ht="52.8" customHeight="1" x14ac:dyDescent="0.3">
      <c r="A32" s="4">
        <v>29</v>
      </c>
      <c r="B32" s="4">
        <v>251605</v>
      </c>
      <c r="C32" s="5" t="s">
        <v>63</v>
      </c>
      <c r="D32" s="4" t="s">
        <v>6</v>
      </c>
      <c r="E32" s="4" t="s">
        <v>61</v>
      </c>
      <c r="F32" s="4" t="s">
        <v>90</v>
      </c>
      <c r="G32" s="6">
        <v>3850</v>
      </c>
      <c r="H32" s="6">
        <v>300</v>
      </c>
      <c r="I32" s="6">
        <v>100</v>
      </c>
      <c r="J32" s="6">
        <v>0</v>
      </c>
      <c r="K32" s="7">
        <v>100</v>
      </c>
      <c r="L32" s="6">
        <v>3750</v>
      </c>
      <c r="M32" s="6">
        <v>3850</v>
      </c>
    </row>
    <row r="33" spans="1:13" ht="42.6" customHeight="1" x14ac:dyDescent="0.3">
      <c r="A33" s="12"/>
      <c r="B33" s="12"/>
      <c r="C33" s="13" t="s">
        <v>71</v>
      </c>
      <c r="D33" s="12"/>
      <c r="E33" s="12"/>
      <c r="F33" s="12"/>
      <c r="G33" s="14">
        <f>SUM(G2:G32)</f>
        <v>123594.28599999999</v>
      </c>
      <c r="H33" s="14">
        <f t="shared" ref="H33:L33" si="0">SUM(H2:H32)</f>
        <v>18429.317999999999</v>
      </c>
      <c r="I33" s="14">
        <f t="shared" si="0"/>
        <v>35756.300999999999</v>
      </c>
      <c r="J33" s="14">
        <f t="shared" si="0"/>
        <v>242.02</v>
      </c>
      <c r="K33" s="14">
        <f t="shared" si="0"/>
        <v>35998.320999999996</v>
      </c>
      <c r="L33" s="14">
        <f t="shared" si="0"/>
        <v>70134.742999999988</v>
      </c>
      <c r="M33" s="7">
        <f>SUM(M2:M32)</f>
        <v>152313.91700000002</v>
      </c>
    </row>
    <row r="34" spans="1:13" ht="42.6" customHeight="1" x14ac:dyDescent="0.3">
      <c r="M34" s="11">
        <f>M33+KPCIP!M8</f>
        <v>173615.62700000001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BFAC-1AB1-4AB0-9753-FF141AA66424}">
  <dimension ref="A1:M12"/>
  <sheetViews>
    <sheetView zoomScale="70" zoomScaleNormal="70" workbookViewId="0">
      <selection activeCell="F19" sqref="F19"/>
    </sheetView>
  </sheetViews>
  <sheetFormatPr defaultRowHeight="16.2" x14ac:dyDescent="0.3"/>
  <cols>
    <col min="1" max="1" width="7.88671875" style="10" customWidth="1"/>
    <col min="2" max="2" width="14.6640625" style="8" customWidth="1"/>
    <col min="3" max="3" width="57.88671875" style="9" customWidth="1"/>
    <col min="4" max="4" width="12.6640625" style="10" customWidth="1"/>
    <col min="5" max="6" width="26.21875" style="10" customWidth="1"/>
    <col min="7" max="7" width="15.6640625" style="3" customWidth="1"/>
    <col min="8" max="12" width="14.6640625" style="3" customWidth="1"/>
    <col min="13" max="13" width="14" style="3" customWidth="1"/>
    <col min="14" max="16384" width="8.88671875" style="3"/>
  </cols>
  <sheetData>
    <row r="1" spans="1:13" ht="42.6" customHeight="1" x14ac:dyDescent="0.3">
      <c r="A1" s="2" t="s">
        <v>64</v>
      </c>
      <c r="B1" s="2" t="s">
        <v>76</v>
      </c>
      <c r="C1" s="1" t="s">
        <v>66</v>
      </c>
      <c r="D1" s="2" t="s">
        <v>67</v>
      </c>
      <c r="E1" s="2" t="s">
        <v>68</v>
      </c>
      <c r="F1" s="2" t="s">
        <v>88</v>
      </c>
      <c r="G1" s="2" t="s">
        <v>77</v>
      </c>
      <c r="H1" s="2" t="s">
        <v>1</v>
      </c>
      <c r="I1" s="2" t="s">
        <v>69</v>
      </c>
      <c r="J1" s="2" t="s">
        <v>70</v>
      </c>
      <c r="K1" s="2" t="s">
        <v>2</v>
      </c>
      <c r="L1" s="2" t="s">
        <v>3</v>
      </c>
      <c r="M1" s="2" t="s">
        <v>81</v>
      </c>
    </row>
    <row r="2" spans="1:13" ht="42.6" customHeight="1" x14ac:dyDescent="0.3">
      <c r="A2" s="4">
        <v>1</v>
      </c>
      <c r="B2" s="4" t="s">
        <v>75</v>
      </c>
      <c r="C2" s="15" t="s">
        <v>72</v>
      </c>
      <c r="D2" s="4" t="s">
        <v>4</v>
      </c>
      <c r="E2" s="4" t="s">
        <v>5</v>
      </c>
      <c r="F2" s="4" t="s">
        <v>85</v>
      </c>
      <c r="G2" s="16">
        <v>372.51</v>
      </c>
      <c r="H2" s="6">
        <v>0</v>
      </c>
      <c r="I2" s="6">
        <v>0</v>
      </c>
      <c r="J2" s="6">
        <v>0</v>
      </c>
      <c r="K2" s="7">
        <v>0</v>
      </c>
      <c r="L2" s="6">
        <v>0</v>
      </c>
      <c r="M2" s="6">
        <v>372.52</v>
      </c>
    </row>
    <row r="3" spans="1:13" ht="42.6" customHeight="1" x14ac:dyDescent="0.3">
      <c r="A3" s="4">
        <v>2</v>
      </c>
      <c r="B3" s="4" t="s">
        <v>75</v>
      </c>
      <c r="C3" s="15" t="s">
        <v>73</v>
      </c>
      <c r="D3" s="4" t="s">
        <v>4</v>
      </c>
      <c r="E3" s="4" t="s">
        <v>5</v>
      </c>
      <c r="F3" s="4" t="s">
        <v>85</v>
      </c>
      <c r="G3" s="17">
        <v>3981.41</v>
      </c>
      <c r="H3" s="6">
        <v>0</v>
      </c>
      <c r="I3" s="6">
        <v>0</v>
      </c>
      <c r="J3" s="6">
        <v>0</v>
      </c>
      <c r="K3" s="7">
        <v>0</v>
      </c>
      <c r="L3" s="6">
        <v>0</v>
      </c>
      <c r="M3" s="6">
        <v>3270.95</v>
      </c>
    </row>
    <row r="4" spans="1:13" ht="42.6" customHeight="1" x14ac:dyDescent="0.3">
      <c r="A4" s="4">
        <v>3</v>
      </c>
      <c r="B4" s="4" t="s">
        <v>75</v>
      </c>
      <c r="C4" s="15" t="s">
        <v>74</v>
      </c>
      <c r="D4" s="4" t="s">
        <v>4</v>
      </c>
      <c r="E4" s="4" t="s">
        <v>5</v>
      </c>
      <c r="F4" s="4" t="s">
        <v>85</v>
      </c>
      <c r="G4" s="17">
        <v>3088.08</v>
      </c>
      <c r="H4" s="6">
        <v>0</v>
      </c>
      <c r="I4" s="6">
        <v>0</v>
      </c>
      <c r="J4" s="6">
        <v>0</v>
      </c>
      <c r="K4" s="7">
        <v>0</v>
      </c>
      <c r="L4" s="6">
        <v>0</v>
      </c>
      <c r="M4" s="6">
        <v>2297.12</v>
      </c>
    </row>
    <row r="5" spans="1:13" ht="52.8" customHeight="1" x14ac:dyDescent="0.3">
      <c r="A5" s="4">
        <v>4</v>
      </c>
      <c r="B5" s="4" t="s">
        <v>75</v>
      </c>
      <c r="C5" s="15" t="s">
        <v>78</v>
      </c>
      <c r="D5" s="4" t="s">
        <v>4</v>
      </c>
      <c r="E5" s="4" t="s">
        <v>5</v>
      </c>
      <c r="F5" s="4" t="s">
        <v>85</v>
      </c>
      <c r="G5" s="17">
        <v>1409.18</v>
      </c>
      <c r="H5" s="6">
        <v>0</v>
      </c>
      <c r="I5" s="6">
        <v>0</v>
      </c>
      <c r="J5" s="6">
        <v>0</v>
      </c>
      <c r="K5" s="7">
        <v>0</v>
      </c>
      <c r="L5" s="6">
        <v>0</v>
      </c>
      <c r="M5" s="6">
        <v>1409.18</v>
      </c>
    </row>
    <row r="6" spans="1:13" ht="42.6" customHeight="1" x14ac:dyDescent="0.3">
      <c r="A6" s="4">
        <v>5</v>
      </c>
      <c r="B6" s="4" t="s">
        <v>75</v>
      </c>
      <c r="C6" s="15" t="s">
        <v>79</v>
      </c>
      <c r="D6" s="4" t="s">
        <v>4</v>
      </c>
      <c r="E6" s="4" t="s">
        <v>5</v>
      </c>
      <c r="F6" s="4" t="s">
        <v>85</v>
      </c>
      <c r="G6" s="18">
        <v>11096</v>
      </c>
      <c r="H6" s="6">
        <v>0</v>
      </c>
      <c r="I6" s="6">
        <v>0</v>
      </c>
      <c r="J6" s="6">
        <v>0</v>
      </c>
      <c r="K6" s="7">
        <v>0</v>
      </c>
      <c r="L6" s="6">
        <v>0</v>
      </c>
      <c r="M6" s="6">
        <v>11096</v>
      </c>
    </row>
    <row r="7" spans="1:13" ht="42.6" customHeight="1" x14ac:dyDescent="0.3">
      <c r="A7" s="4">
        <v>6</v>
      </c>
      <c r="B7" s="4" t="s">
        <v>75</v>
      </c>
      <c r="C7" s="15" t="s">
        <v>80</v>
      </c>
      <c r="D7" s="4" t="s">
        <v>4</v>
      </c>
      <c r="E7" s="4" t="s">
        <v>5</v>
      </c>
      <c r="F7" s="4" t="s">
        <v>85</v>
      </c>
      <c r="G7" s="17">
        <v>2709.69</v>
      </c>
      <c r="H7" s="6">
        <v>0</v>
      </c>
      <c r="I7" s="6">
        <v>0</v>
      </c>
      <c r="J7" s="6">
        <v>0</v>
      </c>
      <c r="K7" s="7">
        <v>0</v>
      </c>
      <c r="L7" s="6">
        <v>0</v>
      </c>
      <c r="M7" s="6">
        <v>2855.94</v>
      </c>
    </row>
    <row r="8" spans="1:13" ht="42.6" customHeight="1" x14ac:dyDescent="0.3">
      <c r="A8" s="12"/>
      <c r="B8" s="12"/>
      <c r="C8" s="13" t="s">
        <v>71</v>
      </c>
      <c r="D8" s="12"/>
      <c r="E8" s="12"/>
      <c r="F8" s="12"/>
      <c r="G8" s="14">
        <f t="shared" ref="G8:M8" si="0">SUM(G2:G7)</f>
        <v>22656.87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7">
        <f t="shared" si="0"/>
        <v>21301.71</v>
      </c>
    </row>
    <row r="11" spans="1:13" ht="42.6" customHeight="1" x14ac:dyDescent="0.3">
      <c r="A11" s="2" t="s">
        <v>64</v>
      </c>
      <c r="B11" s="2" t="s">
        <v>76</v>
      </c>
      <c r="C11" s="1" t="s">
        <v>66</v>
      </c>
      <c r="D11" s="2" t="s">
        <v>67</v>
      </c>
      <c r="E11" s="2" t="s">
        <v>68</v>
      </c>
      <c r="F11" s="2" t="s">
        <v>88</v>
      </c>
      <c r="G11" s="2" t="s">
        <v>77</v>
      </c>
      <c r="H11" s="2" t="s">
        <v>1</v>
      </c>
      <c r="I11" s="2" t="s">
        <v>69</v>
      </c>
      <c r="J11" s="2" t="s">
        <v>70</v>
      </c>
      <c r="K11" s="2" t="s">
        <v>2</v>
      </c>
      <c r="L11" s="2" t="s">
        <v>3</v>
      </c>
      <c r="M11" s="2" t="s">
        <v>81</v>
      </c>
    </row>
    <row r="12" spans="1:13" ht="42.6" customHeight="1" x14ac:dyDescent="0.3">
      <c r="A12" s="4">
        <v>1</v>
      </c>
      <c r="B12" s="4" t="s">
        <v>91</v>
      </c>
      <c r="C12" s="15" t="s">
        <v>92</v>
      </c>
      <c r="D12" s="4" t="s">
        <v>4</v>
      </c>
      <c r="E12" s="4" t="s">
        <v>93</v>
      </c>
      <c r="F12" s="4" t="s">
        <v>93</v>
      </c>
      <c r="G12" s="16">
        <v>90</v>
      </c>
      <c r="H12" s="6">
        <v>0</v>
      </c>
      <c r="I12" s="6">
        <v>0</v>
      </c>
      <c r="J12" s="6">
        <v>0</v>
      </c>
      <c r="K12" s="7">
        <v>0</v>
      </c>
      <c r="L12" s="6">
        <v>0</v>
      </c>
      <c r="M12" s="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PRP All Projects</vt:lpstr>
      <vt:lpstr>ADP Projects</vt:lpstr>
      <vt:lpstr>KPCIP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2026-07-09T11:41:38Z</dcterms:created>
  <dcterms:modified xsi:type="dcterms:W3CDTF">2026-07-09T14:39:00Z</dcterms:modified>
</cp:coreProperties>
</file>